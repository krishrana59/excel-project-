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practicals\excel\project\"/>
    </mc:Choice>
  </mc:AlternateContent>
  <xr:revisionPtr revIDLastSave="0" documentId="13_ncr:1_{F2282ACA-C893-4FFC-A17E-4576877AEEA0}" xr6:coauthVersionLast="47" xr6:coauthVersionMax="47" xr10:uidLastSave="{00000000-0000-0000-0000-000000000000}"/>
  <bookViews>
    <workbookView xWindow="-120" yWindow="-120" windowWidth="20730" windowHeight="11760" xr2:uid="{481F740D-74B5-4188-8D05-3C3DE2EA7BA2}"/>
  </bookViews>
  <sheets>
    <sheet name="expanse" sheetId="1" r:id="rId1"/>
    <sheet name="pivot table " sheetId="2" r:id="rId2"/>
  </sheets>
  <definedNames>
    <definedName name="Category">Table1[[#Headers],[Category]]</definedName>
  </definedName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I6" i="1" l="1"/>
  <c r="H6" i="1"/>
  <c r="G6" i="1"/>
  <c r="E6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</calcChain>
</file>

<file path=xl/sharedStrings.xml><?xml version="1.0" encoding="utf-8"?>
<sst xmlns="http://schemas.openxmlformats.org/spreadsheetml/2006/main" count="355" uniqueCount="58">
  <si>
    <t>Date</t>
  </si>
  <si>
    <t>Category</t>
  </si>
  <si>
    <t>Amount</t>
  </si>
  <si>
    <t>Description</t>
  </si>
  <si>
    <t>Payment Method</t>
  </si>
  <si>
    <t>Groceries</t>
  </si>
  <si>
    <t>Weekly grocery shopping</t>
  </si>
  <si>
    <t>Credit Card</t>
  </si>
  <si>
    <t>Utilities</t>
  </si>
  <si>
    <t>Electricity bill</t>
  </si>
  <si>
    <t>Debit Card</t>
  </si>
  <si>
    <t>Entertainment</t>
  </si>
  <si>
    <t>Movie ticket</t>
  </si>
  <si>
    <t>Cash</t>
  </si>
  <si>
    <t>Transport</t>
  </si>
  <si>
    <t>Monthly bus pass</t>
  </si>
  <si>
    <t>Mobile Payment</t>
  </si>
  <si>
    <t>Healthcare</t>
  </si>
  <si>
    <t>Dentist appointment</t>
  </si>
  <si>
    <t>Insurance</t>
  </si>
  <si>
    <t>Education</t>
  </si>
  <si>
    <t>Online course fee</t>
  </si>
  <si>
    <t>Shopping</t>
  </si>
  <si>
    <t>Clothing purchase</t>
  </si>
  <si>
    <t>Water bill</t>
  </si>
  <si>
    <t>Concert ticket</t>
  </si>
  <si>
    <t>Taxi fare</t>
  </si>
  <si>
    <t>Doctor visit</t>
  </si>
  <si>
    <t>Workshop fee</t>
  </si>
  <si>
    <t>Electronics purchase</t>
  </si>
  <si>
    <t>Gas bill</t>
  </si>
  <si>
    <t>Theater ticket</t>
  </si>
  <si>
    <t>Train ticket</t>
  </si>
  <si>
    <t>Pharmacy purchase</t>
  </si>
  <si>
    <t>Course materials</t>
  </si>
  <si>
    <t>Furniture purchase</t>
  </si>
  <si>
    <t>Internet bill</t>
  </si>
  <si>
    <t>Comedy show</t>
  </si>
  <si>
    <t>Bus ticket</t>
  </si>
  <si>
    <t>Eye checkup</t>
  </si>
  <si>
    <t>Seminar fee</t>
  </si>
  <si>
    <t>Sum of Amount</t>
  </si>
  <si>
    <t>Grand Total</t>
  </si>
  <si>
    <t>Education Total</t>
  </si>
  <si>
    <t>Entertainment Total</t>
  </si>
  <si>
    <t>Groceries Total</t>
  </si>
  <si>
    <t>Healthcare Total</t>
  </si>
  <si>
    <t>Shopping Total</t>
  </si>
  <si>
    <t>Transport Total</t>
  </si>
  <si>
    <t>Utilities Total</t>
  </si>
  <si>
    <t xml:space="preserve">Enter the date </t>
  </si>
  <si>
    <t>Datasets of the Expanse of a User</t>
  </si>
  <si>
    <t>Month</t>
  </si>
  <si>
    <t>Oct</t>
  </si>
  <si>
    <t>Nov</t>
  </si>
  <si>
    <t>Dec</t>
  </si>
  <si>
    <t>color scales</t>
  </si>
  <si>
    <t>Months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</si>
</sst>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8" fontId="0" fillId="0" borderId="0" xfId="0" applyNumberFormat="1"/>
    <xf numFmtId="0" fontId="0" fillId="0" borderId="0" xfId="0" pivotButton="1"/>
    <xf numFmtId="0" fontId="0" fillId="34" borderId="10" xfId="0" applyFill="1" applyBorder="1" applyAlignment="1">
      <alignment wrapText="1"/>
    </xf>
    <xf numFmtId="0" fontId="13" fillId="33" borderId="10" xfId="0" applyFont="1" applyFill="1" applyBorder="1" applyAlignment="1">
      <alignment wrapText="1"/>
    </xf>
    <xf numFmtId="8" fontId="16" fillId="33" borderId="10" xfId="0" applyNumberFormat="1" applyFont="1" applyFill="1" applyBorder="1"/>
    <xf numFmtId="0" fontId="0" fillId="0" borderId="10" xfId="0" applyBorder="1" applyAlignment="1">
      <alignment wrapText="1"/>
    </xf>
    <xf numFmtId="14" fontId="0" fillId="35" borderId="10" xfId="0" applyNumberFormat="1" applyFill="1" applyBorder="1"/>
    <xf numFmtId="8" fontId="0" fillId="36" borderId="10" xfId="0" applyNumberFormat="1" applyFill="1" applyBorder="1"/>
    <xf numFmtId="0" fontId="0" fillId="0" borderId="10" xfId="0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  <xf numFmtId="0" fontId="18" fillId="0" borderId="0" xfId="0" pivotButton="1" applyFont="1"/>
    <xf numFmtId="8" fontId="18" fillId="0" borderId="0" xfId="0" applyNumberFormat="1" applyFont="1"/>
    <xf numFmtId="0" fontId="18" fillId="0" borderId="0" xfId="0" applyFont="1"/>
    <xf numFmtId="0" fontId="0" fillId="0" borderId="10" xfId="0" applyBorder="1" applyAlignment="1">
      <alignment horizontal="center"/>
    </xf>
    <xf numFmtId="0" fontId="0" fillId="42" borderId="10" xfId="0" applyFill="1" applyBorder="1" applyAlignment="1">
      <alignment horizontal="center" vertical="center"/>
    </xf>
    <xf numFmtId="0" fontId="13" fillId="33" borderId="11" xfId="0" applyFont="1" applyFill="1" applyBorder="1"/>
    <xf numFmtId="0" fontId="13" fillId="33" borderId="12" xfId="0" applyFont="1" applyFill="1" applyBorder="1"/>
    <xf numFmtId="14" fontId="0" fillId="0" borderId="11" xfId="0" applyNumberFormat="1" applyBorder="1"/>
    <xf numFmtId="14" fontId="0" fillId="0" borderId="12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8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12" formatCode="&quot;₹&quot;\ #,##0.00;[Red]&quot;₹&quot;\ \-#,##0.0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2" formatCode="&quot;₹&quot;\ #,##0.00;[Red]&quot;₹&quot;\ \-#,##0.00"/>
    </dxf>
    <dxf>
      <numFmt numFmtId="12" formatCode="&quot;₹&quot;\ #,##0.00;[Red]&quot;₹&quot;\ \-#,##0.00"/>
    </dxf>
    <dxf>
      <alignment horizontal="general" vertical="bottom" textRotation="0" wrapText="1" indent="0" justifyLastLine="0" shrinkToFit="0" readingOrder="0"/>
    </dxf>
    <dxf>
      <numFmt numFmtId="12" formatCode="&quot;₹&quot;\ #,##0.00;[Red]&quot;₹&quot;\ \-#,##0.0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[)   Expense Tracking and Analysis System.xlsx]pivot table 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Based Analysis</a:t>
            </a:r>
            <a:endParaRPr lang="en-US"/>
          </a:p>
        </c:rich>
      </c:tx>
      <c:layout>
        <c:manualLayout>
          <c:xMode val="edge"/>
          <c:yMode val="edge"/>
          <c:x val="0.3303117249663664"/>
          <c:y val="8.0489938757655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831649168853895"/>
          <c:y val="0.26791447944006996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'pivot table '!$H$18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9A-463D-8C47-08C8F87649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9A-463D-8C47-08C8F87649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9A-463D-8C47-08C8F87649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9A-463D-8C47-08C8F87649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9A-463D-8C47-08C8F87649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9A-463D-8C47-08C8F87649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9A-463D-8C47-08C8F8764911}"/>
              </c:ext>
            </c:extLst>
          </c:dPt>
          <c:cat>
            <c:strRef>
              <c:f>'pivot table '!$G$19:$G$26</c:f>
              <c:strCache>
                <c:ptCount val="7"/>
                <c:pt idx="0">
                  <c:v>Education</c:v>
                </c:pt>
                <c:pt idx="1">
                  <c:v>Entertainment</c:v>
                </c:pt>
                <c:pt idx="2">
                  <c:v>Groceries</c:v>
                </c:pt>
                <c:pt idx="3">
                  <c:v>Healthcare</c:v>
                </c:pt>
                <c:pt idx="4">
                  <c:v>Shopping</c:v>
                </c:pt>
                <c:pt idx="5">
                  <c:v>Transport</c:v>
                </c:pt>
                <c:pt idx="6">
                  <c:v>Utilities</c:v>
                </c:pt>
              </c:strCache>
            </c:strRef>
          </c:cat>
          <c:val>
            <c:numRef>
              <c:f>'pivot table '!$H$19:$H$26</c:f>
              <c:numCache>
                <c:formatCode>"₹"#,##0.00_);[Red]\("₹"#,##0.00\)</c:formatCode>
                <c:ptCount val="7"/>
                <c:pt idx="0">
                  <c:v>4680</c:v>
                </c:pt>
                <c:pt idx="1">
                  <c:v>650</c:v>
                </c:pt>
                <c:pt idx="2">
                  <c:v>2555</c:v>
                </c:pt>
                <c:pt idx="3">
                  <c:v>3380</c:v>
                </c:pt>
                <c:pt idx="4">
                  <c:v>2080</c:v>
                </c:pt>
                <c:pt idx="5">
                  <c:v>975</c:v>
                </c:pt>
                <c:pt idx="6">
                  <c:v>1308.5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2-48A1-B469-5968AD632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[)   Expense Tracking and Analysis System.xlsx]pivot table 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Montly</a:t>
            </a:r>
            <a:r>
              <a:rPr lang="en-US" baseline="0"/>
              <a:t> Based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'!$I$29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'!$G$30:$H$33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'pivot table '!$I$30:$I$33</c:f>
              <c:numCache>
                <c:formatCode>"₹"#,##0.00_);[Red]\("₹"#,##0.00\)</c:formatCode>
                <c:ptCount val="3"/>
                <c:pt idx="0">
                  <c:v>4148.5</c:v>
                </c:pt>
                <c:pt idx="1">
                  <c:v>5065</c:v>
                </c:pt>
                <c:pt idx="2">
                  <c:v>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C-4F61-A763-81D2722C8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584704"/>
        <c:axId val="217586624"/>
      </c:barChart>
      <c:catAx>
        <c:axId val="21758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86624"/>
        <c:crosses val="autoZero"/>
        <c:auto val="1"/>
        <c:lblAlgn val="ctr"/>
        <c:lblOffset val="100"/>
        <c:noMultiLvlLbl val="0"/>
      </c:catAx>
      <c:valAx>
        <c:axId val="21758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58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6</xdr:row>
      <xdr:rowOff>161926</xdr:rowOff>
    </xdr:from>
    <xdr:to>
      <xdr:col>12</xdr:col>
      <xdr:colOff>609599</xdr:colOff>
      <xdr:row>15</xdr:row>
      <xdr:rowOff>66676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14BDD8-9759-74A2-1682-4F7064FC4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149265</xdr:colOff>
      <xdr:row>18</xdr:row>
      <xdr:rowOff>2</xdr:rowOff>
    </xdr:from>
    <xdr:to>
      <xdr:col>12</xdr:col>
      <xdr:colOff>687247</xdr:colOff>
      <xdr:row>33</xdr:row>
      <xdr:rowOff>132748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B1C0CF-B7AE-2E98-5762-534D92FA2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595.050402546294" createdVersion="8" refreshedVersion="8" minRefreshableVersion="3" recordCount="92" xr:uid="{67840E74-7854-40AC-993E-0FC90618EDE0}">
  <cacheSource type="worksheet">
    <worksheetSource name="Table1"/>
  </cacheSource>
  <cacheFields count="7">
    <cacheField name="Date" numFmtId="14">
      <sharedItems containsSemiMixedTypes="0" containsNonDate="0" containsDate="1" containsString="0" minDate="2023-10-01T00:00:00" maxDate="2024-01-01T00:00:00" count="92"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6"/>
    </cacheField>
    <cacheField name="Category" numFmtId="0">
      <sharedItems count="7">
        <s v="Groceries"/>
        <s v="Utilities"/>
        <s v="Entertainment"/>
        <s v="Transport"/>
        <s v="Healthcare"/>
        <s v="Education"/>
        <s v="Shopping"/>
      </sharedItems>
    </cacheField>
    <cacheField name="Amount" numFmtId="8">
      <sharedItems containsSemiMixedTypes="0" containsString="0" containsNumber="1" minValue="20" maxValue="420"/>
    </cacheField>
    <cacheField name="Description" numFmtId="0">
      <sharedItems count="24">
        <s v="Weekly grocery shopping"/>
        <s v="Electricity bill"/>
        <s v="Movie ticket"/>
        <s v="Monthly bus pass"/>
        <s v="Dentist appointment"/>
        <s v="Online course fee"/>
        <s v="Clothing purchase"/>
        <s v="Water bill"/>
        <s v="Concert ticket"/>
        <s v="Taxi fare"/>
        <s v="Doctor visit"/>
        <s v="Workshop fee"/>
        <s v="Electronics purchase"/>
        <s v="Gas bill"/>
        <s v="Theater ticket"/>
        <s v="Train ticket"/>
        <s v="Pharmacy purchase"/>
        <s v="Course materials"/>
        <s v="Furniture purchase"/>
        <s v="Internet bill"/>
        <s v="Comedy show"/>
        <s v="Bus ticket"/>
        <s v="Eye checkup"/>
        <s v="Seminar fee"/>
      </sharedItems>
    </cacheField>
    <cacheField name="Payment Method" numFmtId="0">
      <sharedItems/>
    </cacheField>
    <cacheField name="Days (Date)" numFmtId="0" databaseField="0">
      <fieldGroup base="0">
        <rangePr groupBy="days" startDate="2023-10-01T00:00:00" endDate="2024-01-01T00:00:00"/>
        <groupItems count="368">
          <s v="&lt;01-10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)" numFmtId="0" databaseField="0">
      <fieldGroup base="0">
        <rangePr groupBy="months" startDate="2023-10-01T00:00:00" endDate="2024-01-01T00:00:00"/>
        <groupItems count="14">
          <s v="&lt;01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x v="0"/>
    <n v="150"/>
    <x v="0"/>
    <s v="Credit Card"/>
  </r>
  <r>
    <x v="1"/>
    <x v="1"/>
    <n v="75.5"/>
    <x v="1"/>
    <s v="Debit Card"/>
  </r>
  <r>
    <x v="2"/>
    <x v="2"/>
    <n v="20"/>
    <x v="2"/>
    <s v="Cash"/>
  </r>
  <r>
    <x v="3"/>
    <x v="3"/>
    <n v="45"/>
    <x v="3"/>
    <s v="Mobile Payment"/>
  </r>
  <r>
    <x v="4"/>
    <x v="4"/>
    <n v="200"/>
    <x v="4"/>
    <s v="Insurance"/>
  </r>
  <r>
    <x v="5"/>
    <x v="5"/>
    <n v="300"/>
    <x v="5"/>
    <s v="Credit Card"/>
  </r>
  <r>
    <x v="6"/>
    <x v="6"/>
    <n v="100"/>
    <x v="6"/>
    <s v="Debit Card"/>
  </r>
  <r>
    <x v="7"/>
    <x v="0"/>
    <n v="160"/>
    <x v="0"/>
    <s v="Credit Card"/>
  </r>
  <r>
    <x v="8"/>
    <x v="1"/>
    <n v="80"/>
    <x v="7"/>
    <s v="Debit Card"/>
  </r>
  <r>
    <x v="9"/>
    <x v="2"/>
    <n v="25"/>
    <x v="8"/>
    <s v="Cash"/>
  </r>
  <r>
    <x v="10"/>
    <x v="3"/>
    <n v="50"/>
    <x v="9"/>
    <s v="Mobile Payment"/>
  </r>
  <r>
    <x v="11"/>
    <x v="4"/>
    <n v="210"/>
    <x v="10"/>
    <s v="Insurance"/>
  </r>
  <r>
    <x v="12"/>
    <x v="5"/>
    <n v="320"/>
    <x v="11"/>
    <s v="Credit Card"/>
  </r>
  <r>
    <x v="13"/>
    <x v="6"/>
    <n v="110"/>
    <x v="12"/>
    <s v="Debit Card"/>
  </r>
  <r>
    <x v="14"/>
    <x v="0"/>
    <n v="155"/>
    <x v="0"/>
    <s v="Credit Card"/>
  </r>
  <r>
    <x v="15"/>
    <x v="1"/>
    <n v="78"/>
    <x v="13"/>
    <s v="Debit Card"/>
  </r>
  <r>
    <x v="16"/>
    <x v="2"/>
    <n v="30"/>
    <x v="14"/>
    <s v="Cash"/>
  </r>
  <r>
    <x v="17"/>
    <x v="3"/>
    <n v="55"/>
    <x v="15"/>
    <s v="Mobile Payment"/>
  </r>
  <r>
    <x v="18"/>
    <x v="4"/>
    <n v="220"/>
    <x v="16"/>
    <s v="Insurance"/>
  </r>
  <r>
    <x v="19"/>
    <x v="5"/>
    <n v="310"/>
    <x v="17"/>
    <s v="Credit Card"/>
  </r>
  <r>
    <x v="20"/>
    <x v="6"/>
    <n v="120"/>
    <x v="18"/>
    <s v="Debit Card"/>
  </r>
  <r>
    <x v="21"/>
    <x v="0"/>
    <n v="165"/>
    <x v="0"/>
    <s v="Credit Card"/>
  </r>
  <r>
    <x v="22"/>
    <x v="1"/>
    <n v="85"/>
    <x v="19"/>
    <s v="Debit Card"/>
  </r>
  <r>
    <x v="23"/>
    <x v="2"/>
    <n v="35"/>
    <x v="20"/>
    <s v="Cash"/>
  </r>
  <r>
    <x v="24"/>
    <x v="3"/>
    <n v="60"/>
    <x v="21"/>
    <s v="Mobile Payment"/>
  </r>
  <r>
    <x v="25"/>
    <x v="4"/>
    <n v="230"/>
    <x v="22"/>
    <s v="Insurance"/>
  </r>
  <r>
    <x v="26"/>
    <x v="5"/>
    <n v="330"/>
    <x v="23"/>
    <s v="Credit Card"/>
  </r>
  <r>
    <x v="27"/>
    <x v="6"/>
    <n v="130"/>
    <x v="6"/>
    <s v="Debit Card"/>
  </r>
  <r>
    <x v="28"/>
    <x v="0"/>
    <n v="170"/>
    <x v="0"/>
    <s v="Credit Card"/>
  </r>
  <r>
    <x v="29"/>
    <x v="1"/>
    <n v="90"/>
    <x v="1"/>
    <s v="Debit Card"/>
  </r>
  <r>
    <x v="30"/>
    <x v="2"/>
    <n v="40"/>
    <x v="2"/>
    <s v="Cash"/>
  </r>
  <r>
    <x v="31"/>
    <x v="3"/>
    <n v="65"/>
    <x v="3"/>
    <s v="Mobile Payment"/>
  </r>
  <r>
    <x v="32"/>
    <x v="4"/>
    <n v="240"/>
    <x v="4"/>
    <s v="Insurance"/>
  </r>
  <r>
    <x v="33"/>
    <x v="5"/>
    <n v="340"/>
    <x v="5"/>
    <s v="Credit Card"/>
  </r>
  <r>
    <x v="34"/>
    <x v="6"/>
    <n v="140"/>
    <x v="6"/>
    <s v="Debit Card"/>
  </r>
  <r>
    <x v="35"/>
    <x v="0"/>
    <n v="175"/>
    <x v="0"/>
    <s v="Credit Card"/>
  </r>
  <r>
    <x v="36"/>
    <x v="1"/>
    <n v="95"/>
    <x v="7"/>
    <s v="Debit Card"/>
  </r>
  <r>
    <x v="37"/>
    <x v="2"/>
    <n v="45"/>
    <x v="8"/>
    <s v="Cash"/>
  </r>
  <r>
    <x v="38"/>
    <x v="3"/>
    <n v="70"/>
    <x v="9"/>
    <s v="Mobile Payment"/>
  </r>
  <r>
    <x v="39"/>
    <x v="4"/>
    <n v="250"/>
    <x v="10"/>
    <s v="Insurance"/>
  </r>
  <r>
    <x v="40"/>
    <x v="5"/>
    <n v="350"/>
    <x v="11"/>
    <s v="Credit Card"/>
  </r>
  <r>
    <x v="41"/>
    <x v="6"/>
    <n v="150"/>
    <x v="12"/>
    <s v="Debit Card"/>
  </r>
  <r>
    <x v="42"/>
    <x v="0"/>
    <n v="180"/>
    <x v="0"/>
    <s v="Credit Card"/>
  </r>
  <r>
    <x v="43"/>
    <x v="1"/>
    <n v="100"/>
    <x v="13"/>
    <s v="Debit Card"/>
  </r>
  <r>
    <x v="44"/>
    <x v="2"/>
    <n v="50"/>
    <x v="14"/>
    <s v="Cash"/>
  </r>
  <r>
    <x v="45"/>
    <x v="3"/>
    <n v="75"/>
    <x v="15"/>
    <s v="Mobile Payment"/>
  </r>
  <r>
    <x v="46"/>
    <x v="4"/>
    <n v="260"/>
    <x v="16"/>
    <s v="Insurance"/>
  </r>
  <r>
    <x v="47"/>
    <x v="5"/>
    <n v="360"/>
    <x v="17"/>
    <s v="Credit Card"/>
  </r>
  <r>
    <x v="48"/>
    <x v="6"/>
    <n v="160"/>
    <x v="18"/>
    <s v="Debit Card"/>
  </r>
  <r>
    <x v="49"/>
    <x v="0"/>
    <n v="185"/>
    <x v="0"/>
    <s v="Credit Card"/>
  </r>
  <r>
    <x v="50"/>
    <x v="1"/>
    <n v="105"/>
    <x v="19"/>
    <s v="Debit Card"/>
  </r>
  <r>
    <x v="51"/>
    <x v="2"/>
    <n v="55"/>
    <x v="20"/>
    <s v="Cash"/>
  </r>
  <r>
    <x v="52"/>
    <x v="3"/>
    <n v="80"/>
    <x v="21"/>
    <s v="Mobile Payment"/>
  </r>
  <r>
    <x v="53"/>
    <x v="4"/>
    <n v="270"/>
    <x v="22"/>
    <s v="Insurance"/>
  </r>
  <r>
    <x v="54"/>
    <x v="5"/>
    <n v="370"/>
    <x v="23"/>
    <s v="Credit Card"/>
  </r>
  <r>
    <x v="55"/>
    <x v="6"/>
    <n v="170"/>
    <x v="6"/>
    <s v="Debit Card"/>
  </r>
  <r>
    <x v="56"/>
    <x v="0"/>
    <n v="190"/>
    <x v="0"/>
    <s v="Credit Card"/>
  </r>
  <r>
    <x v="57"/>
    <x v="1"/>
    <n v="110"/>
    <x v="1"/>
    <s v="Debit Card"/>
  </r>
  <r>
    <x v="58"/>
    <x v="2"/>
    <n v="60"/>
    <x v="2"/>
    <s v="Cash"/>
  </r>
  <r>
    <x v="59"/>
    <x v="3"/>
    <n v="85"/>
    <x v="3"/>
    <s v="Mobile Payment"/>
  </r>
  <r>
    <x v="60"/>
    <x v="4"/>
    <n v="280"/>
    <x v="4"/>
    <s v="Insurance"/>
  </r>
  <r>
    <x v="61"/>
    <x v="5"/>
    <n v="380"/>
    <x v="5"/>
    <s v="Credit Card"/>
  </r>
  <r>
    <x v="62"/>
    <x v="6"/>
    <n v="180"/>
    <x v="6"/>
    <s v="Debit Card"/>
  </r>
  <r>
    <x v="63"/>
    <x v="0"/>
    <n v="195"/>
    <x v="0"/>
    <s v="Credit Card"/>
  </r>
  <r>
    <x v="64"/>
    <x v="1"/>
    <n v="115"/>
    <x v="7"/>
    <s v="Debit Card"/>
  </r>
  <r>
    <x v="65"/>
    <x v="2"/>
    <n v="65"/>
    <x v="8"/>
    <s v="Cash"/>
  </r>
  <r>
    <x v="66"/>
    <x v="3"/>
    <n v="90"/>
    <x v="9"/>
    <s v="Mobile Payment"/>
  </r>
  <r>
    <x v="67"/>
    <x v="4"/>
    <n v="290"/>
    <x v="10"/>
    <s v="Insurance"/>
  </r>
  <r>
    <x v="68"/>
    <x v="5"/>
    <n v="390"/>
    <x v="11"/>
    <s v="Credit Card"/>
  </r>
  <r>
    <x v="69"/>
    <x v="6"/>
    <n v="190"/>
    <x v="12"/>
    <s v="Debit Card"/>
  </r>
  <r>
    <x v="70"/>
    <x v="0"/>
    <n v="200"/>
    <x v="0"/>
    <s v="Credit Card"/>
  </r>
  <r>
    <x v="71"/>
    <x v="1"/>
    <n v="120"/>
    <x v="13"/>
    <s v="Debit Card"/>
  </r>
  <r>
    <x v="72"/>
    <x v="2"/>
    <n v="70"/>
    <x v="14"/>
    <s v="Cash"/>
  </r>
  <r>
    <x v="73"/>
    <x v="3"/>
    <n v="95"/>
    <x v="15"/>
    <s v="Mobile Payment"/>
  </r>
  <r>
    <x v="74"/>
    <x v="4"/>
    <n v="300"/>
    <x v="16"/>
    <s v="Insurance"/>
  </r>
  <r>
    <x v="75"/>
    <x v="5"/>
    <n v="400"/>
    <x v="17"/>
    <s v="Credit Card"/>
  </r>
  <r>
    <x v="76"/>
    <x v="6"/>
    <n v="200"/>
    <x v="18"/>
    <s v="Debit Card"/>
  </r>
  <r>
    <x v="77"/>
    <x v="0"/>
    <n v="205"/>
    <x v="0"/>
    <s v="Credit Card"/>
  </r>
  <r>
    <x v="78"/>
    <x v="1"/>
    <n v="125"/>
    <x v="19"/>
    <s v="Debit Card"/>
  </r>
  <r>
    <x v="79"/>
    <x v="2"/>
    <n v="75"/>
    <x v="20"/>
    <s v="Cash"/>
  </r>
  <r>
    <x v="80"/>
    <x v="3"/>
    <n v="100"/>
    <x v="21"/>
    <s v="Mobile Payment"/>
  </r>
  <r>
    <x v="81"/>
    <x v="4"/>
    <n v="310"/>
    <x v="22"/>
    <s v="Insurance"/>
  </r>
  <r>
    <x v="82"/>
    <x v="5"/>
    <n v="410"/>
    <x v="23"/>
    <s v="Credit Card"/>
  </r>
  <r>
    <x v="83"/>
    <x v="6"/>
    <n v="210"/>
    <x v="6"/>
    <s v="Debit Card"/>
  </r>
  <r>
    <x v="84"/>
    <x v="0"/>
    <n v="210"/>
    <x v="0"/>
    <s v="Credit Card"/>
  </r>
  <r>
    <x v="85"/>
    <x v="1"/>
    <n v="130"/>
    <x v="1"/>
    <s v="Debit Card"/>
  </r>
  <r>
    <x v="86"/>
    <x v="2"/>
    <n v="80"/>
    <x v="2"/>
    <s v="Cash"/>
  </r>
  <r>
    <x v="87"/>
    <x v="3"/>
    <n v="105"/>
    <x v="3"/>
    <s v="Mobile Payment"/>
  </r>
  <r>
    <x v="88"/>
    <x v="4"/>
    <n v="320"/>
    <x v="4"/>
    <s v="Insurance"/>
  </r>
  <r>
    <x v="89"/>
    <x v="5"/>
    <n v="420"/>
    <x v="5"/>
    <s v="Credit Card"/>
  </r>
  <r>
    <x v="90"/>
    <x v="6"/>
    <n v="220"/>
    <x v="6"/>
    <s v="Debit Card"/>
  </r>
  <r>
    <x v="91"/>
    <x v="0"/>
    <n v="215"/>
    <x v="0"/>
    <s v="Cred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28120-850F-4593-B888-B0180ADC017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G18:H26" firstHeaderRow="1" firstDataRow="1" firstDataCol="1"/>
  <pivotFields count="7">
    <pivotField compact="0" numFmtId="14" outline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axis="axisRow" compact="0" outline="0" showAll="0">
      <items count="8">
        <item x="5"/>
        <item x="2"/>
        <item x="0"/>
        <item x="4"/>
        <item x="6"/>
        <item x="3"/>
        <item x="1"/>
        <item t="default"/>
      </items>
    </pivotField>
    <pivotField dataField="1" compact="0" numFmtId="8" outline="0" showAll="0"/>
    <pivotField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2" baseField="0" baseItem="0" numFmtId="8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2A35E-737F-46F3-8A79-09021AF701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C8:E40" firstHeaderRow="1" firstDataRow="1" firstDataCol="2"/>
  <pivotFields count="7">
    <pivotField compact="0" numFmtId="14" outline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axis="axisRow" compact="0" outline="0" showAll="0">
      <items count="8">
        <item x="5"/>
        <item x="2"/>
        <item x="0"/>
        <item x="4"/>
        <item x="6"/>
        <item x="3"/>
        <item x="1"/>
        <item t="default"/>
      </items>
    </pivotField>
    <pivotField dataField="1" compact="0" numFmtId="8" outline="0" showAll="0"/>
    <pivotField axis="axisRow" compact="0" outline="0" showAll="0">
      <items count="25">
        <item x="21"/>
        <item x="6"/>
        <item x="20"/>
        <item x="8"/>
        <item x="17"/>
        <item x="4"/>
        <item x="10"/>
        <item x="1"/>
        <item x="12"/>
        <item x="22"/>
        <item x="18"/>
        <item x="13"/>
        <item x="19"/>
        <item x="3"/>
        <item x="2"/>
        <item x="5"/>
        <item x="16"/>
        <item x="23"/>
        <item x="9"/>
        <item x="14"/>
        <item x="15"/>
        <item x="7"/>
        <item x="0"/>
        <item x="11"/>
        <item t="default"/>
      </items>
    </pivotField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3"/>
  </rowFields>
  <rowItems count="32">
    <i>
      <x/>
      <x v="4"/>
    </i>
    <i r="1">
      <x v="15"/>
    </i>
    <i r="1">
      <x v="17"/>
    </i>
    <i r="1">
      <x v="23"/>
    </i>
    <i t="default">
      <x/>
    </i>
    <i>
      <x v="1"/>
      <x v="2"/>
    </i>
    <i r="1">
      <x v="3"/>
    </i>
    <i r="1">
      <x v="14"/>
    </i>
    <i r="1">
      <x v="19"/>
    </i>
    <i t="default">
      <x v="1"/>
    </i>
    <i>
      <x v="2"/>
      <x v="22"/>
    </i>
    <i t="default">
      <x v="2"/>
    </i>
    <i>
      <x v="3"/>
      <x v="5"/>
    </i>
    <i r="1">
      <x v="6"/>
    </i>
    <i r="1">
      <x v="9"/>
    </i>
    <i r="1">
      <x v="16"/>
    </i>
    <i t="default">
      <x v="3"/>
    </i>
    <i>
      <x v="4"/>
      <x v="1"/>
    </i>
    <i r="1">
      <x v="8"/>
    </i>
    <i r="1">
      <x v="10"/>
    </i>
    <i t="default">
      <x v="4"/>
    </i>
    <i>
      <x v="5"/>
      <x/>
    </i>
    <i r="1">
      <x v="13"/>
    </i>
    <i r="1">
      <x v="18"/>
    </i>
    <i r="1">
      <x v="20"/>
    </i>
    <i t="default">
      <x v="5"/>
    </i>
    <i>
      <x v="6"/>
      <x v="7"/>
    </i>
    <i r="1">
      <x v="11"/>
    </i>
    <i r="1">
      <x v="12"/>
    </i>
    <i r="1">
      <x v="21"/>
    </i>
    <i t="default">
      <x v="6"/>
    </i>
    <i t="grand">
      <x/>
    </i>
  </rowItems>
  <colItems count="1">
    <i/>
  </colItems>
  <dataFields count="1">
    <dataField name="Sum of Amount" fld="2" baseField="0" baseItem="0" numFmtId="8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083B1-B3CA-4494-92E9-0353F16A140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G29:I33" firstHeaderRow="1" firstDataRow="1" firstDataCol="2"/>
  <pivotFields count="7">
    <pivotField axis="axisRow" compact="0" numFmtId="14" outline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2">
    <field x="6"/>
    <field x="0"/>
  </rowFields>
  <rowItems count="4">
    <i>
      <x v="10"/>
    </i>
    <i>
      <x v="11"/>
    </i>
    <i>
      <x v="12"/>
    </i>
    <i t="grand">
      <x/>
    </i>
  </rowItems>
  <colItems count="1">
    <i/>
  </colItems>
  <dataFields count="1">
    <dataField name="Sum of Amount" fld="2" baseField="0" baseItem="0" numFmtId="8"/>
  </dataFields>
  <formats count="8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6" type="button" dataOnly="0" labelOnly="1" outline="0" axis="axisRow" fieldPosition="0"/>
    </format>
    <format dxfId="18">
      <pivotArea dataOnly="0" labelOnly="1" fieldPosition="0">
        <references count="1">
          <reference field="6" count="3">
            <x v="10"/>
            <x v="11"/>
            <x v="12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FBB7F-AB4D-442E-8DA4-9855755662BB}" name="Table1" displayName="Table1" ref="E10:J102" totalsRowShown="0">
  <autoFilter ref="E10:J102" xr:uid="{027FBB7F-AB4D-442E-8DA4-9855755662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FFADDC-AC09-4A1F-AC62-131C8736BDAB}" name="Date" dataDxfId="28"/>
    <tableColumn id="6" xr3:uid="{C615C80F-75BA-4870-A2B1-0D0E0278AFD2}" name="Month" dataDxfId="27">
      <calculatedColumnFormula>MONTH(E11)</calculatedColumnFormula>
    </tableColumn>
    <tableColumn id="2" xr3:uid="{D5033A26-4712-47F5-904C-B07036F66B34}" name="Category" dataDxfId="26"/>
    <tableColumn id="3" xr3:uid="{DEDE1DA0-2A74-4E31-A5DA-10FF9A22EC66}" name="Amount" dataDxfId="25"/>
    <tableColumn id="4" xr3:uid="{879EB449-728A-4554-B8CE-17EA91F992C0}" name="Description" dataDxfId="24"/>
    <tableColumn id="5" xr3:uid="{42342EF6-F834-4B2C-855C-DD6D4D966937}" name="Payment Metho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D11D-E69C-4380-977B-8D66743B66FE}">
  <sheetPr>
    <tabColor theme="4" tint="0.39997558519241921"/>
  </sheetPr>
  <dimension ref="E1:N102"/>
  <sheetViews>
    <sheetView tabSelected="1" zoomScaleNormal="100" workbookViewId="0">
      <selection activeCell="I7" sqref="I7"/>
    </sheetView>
  </sheetViews>
  <sheetFormatPr defaultRowHeight="15" x14ac:dyDescent="0.25"/>
  <cols>
    <col min="5" max="5" width="10.85546875" bestFit="1" customWidth="1"/>
    <col min="6" max="6" width="10.85546875" customWidth="1"/>
    <col min="7" max="7" width="11.7109375" style="2" customWidth="1"/>
    <col min="8" max="8" width="11.85546875" style="3" customWidth="1"/>
    <col min="9" max="9" width="14.7109375" style="2" customWidth="1"/>
    <col min="10" max="10" width="17.28515625" customWidth="1"/>
    <col min="14" max="16" width="13.85546875" customWidth="1"/>
  </cols>
  <sheetData>
    <row r="1" spans="5:14" x14ac:dyDescent="0.25">
      <c r="E1" s="21" t="s">
        <v>51</v>
      </c>
      <c r="F1" s="21"/>
      <c r="G1" s="21"/>
      <c r="H1" s="21"/>
      <c r="I1" s="21"/>
      <c r="J1" s="21"/>
    </row>
    <row r="2" spans="5:14" x14ac:dyDescent="0.25">
      <c r="M2" s="20" t="s">
        <v>56</v>
      </c>
      <c r="N2" s="20"/>
    </row>
    <row r="3" spans="5:14" ht="30" x14ac:dyDescent="0.25">
      <c r="G3" s="5" t="s">
        <v>50</v>
      </c>
      <c r="H3" s="9"/>
      <c r="M3" s="10"/>
      <c r="N3" s="11" t="s">
        <v>5</v>
      </c>
    </row>
    <row r="4" spans="5:14" x14ac:dyDescent="0.25">
      <c r="M4" s="12"/>
      <c r="N4" s="11" t="s">
        <v>8</v>
      </c>
    </row>
    <row r="5" spans="5:14" x14ac:dyDescent="0.25">
      <c r="E5" s="22" t="s">
        <v>0</v>
      </c>
      <c r="F5" s="23"/>
      <c r="G5" s="6" t="s">
        <v>1</v>
      </c>
      <c r="H5" s="7" t="s">
        <v>2</v>
      </c>
      <c r="I5" s="6" t="s">
        <v>3</v>
      </c>
      <c r="M5" s="13"/>
      <c r="N5" s="11" t="s">
        <v>11</v>
      </c>
    </row>
    <row r="6" spans="5:14" ht="15" customHeight="1" x14ac:dyDescent="0.25">
      <c r="E6" s="24" t="str">
        <f>IF(ISBLANK(H3),"",H3)</f>
        <v/>
      </c>
      <c r="F6" s="25"/>
      <c r="G6" s="8" t="str">
        <f>IF(ISBLANK($H$3),"",IFERROR(VLOOKUP($E$6,Table1[#All],3,FALSE),"not present"))</f>
        <v/>
      </c>
      <c r="H6" s="8" t="str">
        <f>IF(ISBLANK($H$3),"",IFERROR(VLOOKUP($E$6,Table1[#All],4,FALSE),"not present"))</f>
        <v/>
      </c>
      <c r="I6" s="8" t="str">
        <f>IF(ISBLANK($H$3),"",IFERROR(VLOOKUP($E$6,Table1[#All],5,FALSE),"not present"))</f>
        <v/>
      </c>
      <c r="M6" s="11"/>
      <c r="N6" s="11" t="s">
        <v>14</v>
      </c>
    </row>
    <row r="7" spans="5:14" x14ac:dyDescent="0.25">
      <c r="M7" s="14"/>
      <c r="N7" s="11" t="s">
        <v>17</v>
      </c>
    </row>
    <row r="8" spans="5:14" x14ac:dyDescent="0.25">
      <c r="M8" s="15"/>
      <c r="N8" s="11" t="s">
        <v>20</v>
      </c>
    </row>
    <row r="9" spans="5:14" x14ac:dyDescent="0.25">
      <c r="M9" s="16"/>
      <c r="N9" s="11" t="s">
        <v>22</v>
      </c>
    </row>
    <row r="10" spans="5:14" x14ac:dyDescent="0.25">
      <c r="E10" t="s">
        <v>0</v>
      </c>
      <c r="F10" t="s">
        <v>52</v>
      </c>
      <c r="G10" s="2" t="s">
        <v>1</v>
      </c>
      <c r="H10" s="3" t="s">
        <v>2</v>
      </c>
      <c r="I10" s="2" t="s">
        <v>3</v>
      </c>
      <c r="J10" t="s">
        <v>4</v>
      </c>
    </row>
    <row r="11" spans="5:14" ht="45" x14ac:dyDescent="0.25">
      <c r="E11" s="1">
        <v>45200</v>
      </c>
      <c r="F11">
        <f>MONTH(E11)</f>
        <v>10</v>
      </c>
      <c r="G11" s="2" t="s">
        <v>5</v>
      </c>
      <c r="H11" s="3">
        <v>150</v>
      </c>
      <c r="I11" s="2" t="s">
        <v>6</v>
      </c>
      <c r="J11" t="s">
        <v>7</v>
      </c>
    </row>
    <row r="12" spans="5:14" x14ac:dyDescent="0.25">
      <c r="E12" s="1">
        <v>45201</v>
      </c>
      <c r="F12">
        <f t="shared" ref="F12:F42" si="0">MONTH(E12)</f>
        <v>10</v>
      </c>
      <c r="G12" s="2" t="s">
        <v>8</v>
      </c>
      <c r="H12" s="3">
        <v>75.5</v>
      </c>
      <c r="I12" s="2" t="s">
        <v>9</v>
      </c>
      <c r="J12" t="s">
        <v>10</v>
      </c>
    </row>
    <row r="13" spans="5:14" ht="30" x14ac:dyDescent="0.25">
      <c r="E13" s="1">
        <v>45202</v>
      </c>
      <c r="F13">
        <f t="shared" si="0"/>
        <v>10</v>
      </c>
      <c r="G13" s="2" t="s">
        <v>11</v>
      </c>
      <c r="H13" s="3">
        <v>20</v>
      </c>
      <c r="I13" s="2" t="s">
        <v>12</v>
      </c>
      <c r="J13" t="s">
        <v>13</v>
      </c>
    </row>
    <row r="14" spans="5:14" ht="30" x14ac:dyDescent="0.25">
      <c r="E14" s="1">
        <v>45205</v>
      </c>
      <c r="F14">
        <f t="shared" si="0"/>
        <v>10</v>
      </c>
      <c r="G14" s="2" t="s">
        <v>14</v>
      </c>
      <c r="H14" s="3">
        <v>45</v>
      </c>
      <c r="I14" s="2" t="s">
        <v>15</v>
      </c>
      <c r="J14" t="s">
        <v>16</v>
      </c>
    </row>
    <row r="15" spans="5:14" ht="30" x14ac:dyDescent="0.25">
      <c r="E15" s="1">
        <v>45204</v>
      </c>
      <c r="F15">
        <f t="shared" si="0"/>
        <v>10</v>
      </c>
      <c r="G15" s="2" t="s">
        <v>17</v>
      </c>
      <c r="H15" s="3">
        <v>200</v>
      </c>
      <c r="I15" s="2" t="s">
        <v>18</v>
      </c>
      <c r="J15" t="s">
        <v>19</v>
      </c>
    </row>
    <row r="16" spans="5:14" ht="30" x14ac:dyDescent="0.25">
      <c r="E16" s="1">
        <v>45205</v>
      </c>
      <c r="F16">
        <f t="shared" si="0"/>
        <v>10</v>
      </c>
      <c r="G16" s="2" t="s">
        <v>20</v>
      </c>
      <c r="H16" s="3">
        <v>300</v>
      </c>
      <c r="I16" s="2" t="s">
        <v>21</v>
      </c>
      <c r="J16" t="s">
        <v>7</v>
      </c>
    </row>
    <row r="17" spans="5:10" ht="30" x14ac:dyDescent="0.25">
      <c r="E17" s="1">
        <v>45206</v>
      </c>
      <c r="F17">
        <f t="shared" si="0"/>
        <v>10</v>
      </c>
      <c r="G17" s="2" t="s">
        <v>22</v>
      </c>
      <c r="H17" s="3">
        <v>100</v>
      </c>
      <c r="I17" s="2" t="s">
        <v>23</v>
      </c>
      <c r="J17" t="s">
        <v>10</v>
      </c>
    </row>
    <row r="18" spans="5:10" ht="45" x14ac:dyDescent="0.25">
      <c r="E18" s="1">
        <v>45207</v>
      </c>
      <c r="F18">
        <f t="shared" si="0"/>
        <v>10</v>
      </c>
      <c r="G18" s="2" t="s">
        <v>5</v>
      </c>
      <c r="H18" s="3">
        <v>160</v>
      </c>
      <c r="I18" s="2" t="s">
        <v>6</v>
      </c>
      <c r="J18" t="s">
        <v>7</v>
      </c>
    </row>
    <row r="19" spans="5:10" x14ac:dyDescent="0.25">
      <c r="E19" s="1">
        <v>45208</v>
      </c>
      <c r="F19">
        <f t="shared" si="0"/>
        <v>10</v>
      </c>
      <c r="G19" s="2" t="s">
        <v>8</v>
      </c>
      <c r="H19" s="3">
        <v>80</v>
      </c>
      <c r="I19" s="2" t="s">
        <v>24</v>
      </c>
      <c r="J19" t="s">
        <v>10</v>
      </c>
    </row>
    <row r="20" spans="5:10" ht="30" x14ac:dyDescent="0.25">
      <c r="E20" s="1">
        <v>45209</v>
      </c>
      <c r="F20">
        <f t="shared" si="0"/>
        <v>10</v>
      </c>
      <c r="G20" s="2" t="s">
        <v>11</v>
      </c>
      <c r="H20" s="3">
        <v>25</v>
      </c>
      <c r="I20" s="2" t="s">
        <v>25</v>
      </c>
      <c r="J20" t="s">
        <v>13</v>
      </c>
    </row>
    <row r="21" spans="5:10" x14ac:dyDescent="0.25">
      <c r="E21" s="1">
        <v>45210</v>
      </c>
      <c r="F21">
        <f t="shared" si="0"/>
        <v>10</v>
      </c>
      <c r="G21" s="2" t="s">
        <v>14</v>
      </c>
      <c r="H21" s="3">
        <v>50</v>
      </c>
      <c r="I21" s="2" t="s">
        <v>26</v>
      </c>
      <c r="J21" t="s">
        <v>16</v>
      </c>
    </row>
    <row r="22" spans="5:10" x14ac:dyDescent="0.25">
      <c r="E22" s="1">
        <v>45211</v>
      </c>
      <c r="F22">
        <f t="shared" si="0"/>
        <v>10</v>
      </c>
      <c r="G22" s="2" t="s">
        <v>17</v>
      </c>
      <c r="H22" s="3">
        <v>210</v>
      </c>
      <c r="I22" s="2" t="s">
        <v>27</v>
      </c>
      <c r="J22" t="s">
        <v>19</v>
      </c>
    </row>
    <row r="23" spans="5:10" x14ac:dyDescent="0.25">
      <c r="E23" s="1">
        <v>45212</v>
      </c>
      <c r="F23">
        <f t="shared" si="0"/>
        <v>10</v>
      </c>
      <c r="G23" s="2" t="s">
        <v>20</v>
      </c>
      <c r="H23" s="3">
        <v>320</v>
      </c>
      <c r="I23" s="2" t="s">
        <v>28</v>
      </c>
      <c r="J23" t="s">
        <v>7</v>
      </c>
    </row>
    <row r="24" spans="5:10" ht="30" x14ac:dyDescent="0.25">
      <c r="E24" s="1">
        <v>45213</v>
      </c>
      <c r="F24">
        <f t="shared" si="0"/>
        <v>10</v>
      </c>
      <c r="G24" s="2" t="s">
        <v>22</v>
      </c>
      <c r="H24" s="3">
        <v>110</v>
      </c>
      <c r="I24" s="2" t="s">
        <v>29</v>
      </c>
      <c r="J24" t="s">
        <v>10</v>
      </c>
    </row>
    <row r="25" spans="5:10" ht="45" x14ac:dyDescent="0.25">
      <c r="E25" s="1">
        <v>45214</v>
      </c>
      <c r="F25">
        <f t="shared" si="0"/>
        <v>10</v>
      </c>
      <c r="G25" s="2" t="s">
        <v>5</v>
      </c>
      <c r="H25" s="3">
        <v>155</v>
      </c>
      <c r="I25" s="2" t="s">
        <v>6</v>
      </c>
      <c r="J25" t="s">
        <v>7</v>
      </c>
    </row>
    <row r="26" spans="5:10" x14ac:dyDescent="0.25">
      <c r="E26" s="1">
        <v>45215</v>
      </c>
      <c r="F26">
        <f t="shared" si="0"/>
        <v>10</v>
      </c>
      <c r="G26" s="2" t="s">
        <v>8</v>
      </c>
      <c r="H26" s="3">
        <v>78</v>
      </c>
      <c r="I26" s="2" t="s">
        <v>30</v>
      </c>
      <c r="J26" t="s">
        <v>10</v>
      </c>
    </row>
    <row r="27" spans="5:10" ht="30" x14ac:dyDescent="0.25">
      <c r="E27" s="1">
        <v>45216</v>
      </c>
      <c r="F27">
        <f t="shared" si="0"/>
        <v>10</v>
      </c>
      <c r="G27" s="2" t="s">
        <v>11</v>
      </c>
      <c r="H27" s="3">
        <v>30</v>
      </c>
      <c r="I27" s="2" t="s">
        <v>31</v>
      </c>
      <c r="J27" t="s">
        <v>13</v>
      </c>
    </row>
    <row r="28" spans="5:10" x14ac:dyDescent="0.25">
      <c r="E28" s="1">
        <v>45217</v>
      </c>
      <c r="F28">
        <f t="shared" si="0"/>
        <v>10</v>
      </c>
      <c r="G28" s="2" t="s">
        <v>14</v>
      </c>
      <c r="H28" s="3">
        <v>55</v>
      </c>
      <c r="I28" s="2" t="s">
        <v>32</v>
      </c>
      <c r="J28" t="s">
        <v>16</v>
      </c>
    </row>
    <row r="29" spans="5:10" ht="30" x14ac:dyDescent="0.25">
      <c r="E29" s="1">
        <v>45218</v>
      </c>
      <c r="F29">
        <f t="shared" si="0"/>
        <v>10</v>
      </c>
      <c r="G29" s="2" t="s">
        <v>17</v>
      </c>
      <c r="H29" s="3">
        <v>220</v>
      </c>
      <c r="I29" s="2" t="s">
        <v>33</v>
      </c>
      <c r="J29" t="s">
        <v>19</v>
      </c>
    </row>
    <row r="30" spans="5:10" ht="30" x14ac:dyDescent="0.25">
      <c r="E30" s="1">
        <v>45219</v>
      </c>
      <c r="F30">
        <f t="shared" si="0"/>
        <v>10</v>
      </c>
      <c r="G30" s="2" t="s">
        <v>20</v>
      </c>
      <c r="H30" s="3">
        <v>310</v>
      </c>
      <c r="I30" s="2" t="s">
        <v>34</v>
      </c>
      <c r="J30" t="s">
        <v>7</v>
      </c>
    </row>
    <row r="31" spans="5:10" ht="30" x14ac:dyDescent="0.25">
      <c r="E31" s="1">
        <v>45220</v>
      </c>
      <c r="F31">
        <f t="shared" si="0"/>
        <v>10</v>
      </c>
      <c r="G31" s="2" t="s">
        <v>22</v>
      </c>
      <c r="H31" s="3">
        <v>120</v>
      </c>
      <c r="I31" s="2" t="s">
        <v>35</v>
      </c>
      <c r="J31" t="s">
        <v>10</v>
      </c>
    </row>
    <row r="32" spans="5:10" ht="45" x14ac:dyDescent="0.25">
      <c r="E32" s="1">
        <v>45221</v>
      </c>
      <c r="F32">
        <f t="shared" si="0"/>
        <v>10</v>
      </c>
      <c r="G32" s="2" t="s">
        <v>5</v>
      </c>
      <c r="H32" s="3">
        <v>165</v>
      </c>
      <c r="I32" s="2" t="s">
        <v>6</v>
      </c>
      <c r="J32" t="s">
        <v>7</v>
      </c>
    </row>
    <row r="33" spans="5:10" x14ac:dyDescent="0.25">
      <c r="E33" s="1">
        <v>45222</v>
      </c>
      <c r="F33">
        <f t="shared" si="0"/>
        <v>10</v>
      </c>
      <c r="G33" s="2" t="s">
        <v>8</v>
      </c>
      <c r="H33" s="3">
        <v>85</v>
      </c>
      <c r="I33" s="2" t="s">
        <v>36</v>
      </c>
      <c r="J33" t="s">
        <v>10</v>
      </c>
    </row>
    <row r="34" spans="5:10" ht="30" x14ac:dyDescent="0.25">
      <c r="E34" s="1">
        <v>45223</v>
      </c>
      <c r="F34">
        <f t="shared" si="0"/>
        <v>10</v>
      </c>
      <c r="G34" s="2" t="s">
        <v>11</v>
      </c>
      <c r="H34" s="3">
        <v>35</v>
      </c>
      <c r="I34" s="2" t="s">
        <v>37</v>
      </c>
      <c r="J34" t="s">
        <v>13</v>
      </c>
    </row>
    <row r="35" spans="5:10" x14ac:dyDescent="0.25">
      <c r="E35" s="1">
        <v>45224</v>
      </c>
      <c r="F35">
        <f t="shared" si="0"/>
        <v>10</v>
      </c>
      <c r="G35" s="2" t="s">
        <v>14</v>
      </c>
      <c r="H35" s="3">
        <v>60</v>
      </c>
      <c r="I35" s="2" t="s">
        <v>38</v>
      </c>
      <c r="J35" t="s">
        <v>16</v>
      </c>
    </row>
    <row r="36" spans="5:10" x14ac:dyDescent="0.25">
      <c r="E36" s="1">
        <v>45225</v>
      </c>
      <c r="F36">
        <f t="shared" si="0"/>
        <v>10</v>
      </c>
      <c r="G36" s="2" t="s">
        <v>17</v>
      </c>
      <c r="H36" s="3">
        <v>230</v>
      </c>
      <c r="I36" s="2" t="s">
        <v>39</v>
      </c>
      <c r="J36" t="s">
        <v>19</v>
      </c>
    </row>
    <row r="37" spans="5:10" x14ac:dyDescent="0.25">
      <c r="E37" s="1">
        <v>45226</v>
      </c>
      <c r="F37">
        <f t="shared" si="0"/>
        <v>10</v>
      </c>
      <c r="G37" s="2" t="s">
        <v>20</v>
      </c>
      <c r="H37" s="3">
        <v>330</v>
      </c>
      <c r="I37" s="2" t="s">
        <v>40</v>
      </c>
      <c r="J37" t="s">
        <v>7</v>
      </c>
    </row>
    <row r="38" spans="5:10" ht="30" x14ac:dyDescent="0.25">
      <c r="E38" s="1">
        <v>45227</v>
      </c>
      <c r="F38">
        <f t="shared" si="0"/>
        <v>10</v>
      </c>
      <c r="G38" s="2" t="s">
        <v>22</v>
      </c>
      <c r="H38" s="3">
        <v>130</v>
      </c>
      <c r="I38" s="2" t="s">
        <v>23</v>
      </c>
      <c r="J38" t="s">
        <v>10</v>
      </c>
    </row>
    <row r="39" spans="5:10" ht="45" x14ac:dyDescent="0.25">
      <c r="E39" s="1">
        <v>45228</v>
      </c>
      <c r="F39">
        <f t="shared" si="0"/>
        <v>10</v>
      </c>
      <c r="G39" s="2" t="s">
        <v>5</v>
      </c>
      <c r="H39" s="3">
        <v>170</v>
      </c>
      <c r="I39" s="2" t="s">
        <v>6</v>
      </c>
      <c r="J39" t="s">
        <v>7</v>
      </c>
    </row>
    <row r="40" spans="5:10" x14ac:dyDescent="0.25">
      <c r="E40" s="1">
        <v>45229</v>
      </c>
      <c r="F40">
        <f t="shared" si="0"/>
        <v>10</v>
      </c>
      <c r="G40" s="2" t="s">
        <v>8</v>
      </c>
      <c r="H40" s="3">
        <v>90</v>
      </c>
      <c r="I40" s="2" t="s">
        <v>9</v>
      </c>
      <c r="J40" t="s">
        <v>10</v>
      </c>
    </row>
    <row r="41" spans="5:10" ht="30" x14ac:dyDescent="0.25">
      <c r="E41" s="1">
        <v>45230</v>
      </c>
      <c r="F41">
        <f t="shared" si="0"/>
        <v>10</v>
      </c>
      <c r="G41" s="2" t="s">
        <v>11</v>
      </c>
      <c r="H41" s="3">
        <v>40</v>
      </c>
      <c r="I41" s="2" t="s">
        <v>12</v>
      </c>
      <c r="J41" t="s">
        <v>13</v>
      </c>
    </row>
    <row r="42" spans="5:10" ht="30" x14ac:dyDescent="0.25">
      <c r="E42" s="1">
        <v>45231</v>
      </c>
      <c r="F42">
        <f t="shared" si="0"/>
        <v>11</v>
      </c>
      <c r="G42" s="2" t="s">
        <v>14</v>
      </c>
      <c r="H42" s="3">
        <v>65</v>
      </c>
      <c r="I42" s="2" t="s">
        <v>15</v>
      </c>
      <c r="J42" t="s">
        <v>16</v>
      </c>
    </row>
    <row r="43" spans="5:10" ht="30" x14ac:dyDescent="0.25">
      <c r="E43" s="1">
        <v>45232</v>
      </c>
      <c r="F43">
        <f t="shared" ref="F43:F74" si="1">MONTH(E43)</f>
        <v>11</v>
      </c>
      <c r="G43" s="2" t="s">
        <v>17</v>
      </c>
      <c r="H43" s="3">
        <v>240</v>
      </c>
      <c r="I43" s="2" t="s">
        <v>18</v>
      </c>
      <c r="J43" t="s">
        <v>19</v>
      </c>
    </row>
    <row r="44" spans="5:10" ht="30" x14ac:dyDescent="0.25">
      <c r="E44" s="1">
        <v>45233</v>
      </c>
      <c r="F44">
        <f t="shared" si="1"/>
        <v>11</v>
      </c>
      <c r="G44" s="2" t="s">
        <v>20</v>
      </c>
      <c r="H44" s="3">
        <v>340</v>
      </c>
      <c r="I44" s="2" t="s">
        <v>21</v>
      </c>
      <c r="J44" t="s">
        <v>7</v>
      </c>
    </row>
    <row r="45" spans="5:10" ht="30" x14ac:dyDescent="0.25">
      <c r="E45" s="1">
        <v>45234</v>
      </c>
      <c r="F45">
        <f t="shared" si="1"/>
        <v>11</v>
      </c>
      <c r="G45" s="2" t="s">
        <v>22</v>
      </c>
      <c r="H45" s="3">
        <v>140</v>
      </c>
      <c r="I45" s="2" t="s">
        <v>23</v>
      </c>
      <c r="J45" t="s">
        <v>10</v>
      </c>
    </row>
    <row r="46" spans="5:10" ht="45" x14ac:dyDescent="0.25">
      <c r="E46" s="1">
        <v>45235</v>
      </c>
      <c r="F46">
        <f t="shared" si="1"/>
        <v>11</v>
      </c>
      <c r="G46" s="2" t="s">
        <v>5</v>
      </c>
      <c r="H46" s="3">
        <v>175</v>
      </c>
      <c r="I46" s="2" t="s">
        <v>6</v>
      </c>
      <c r="J46" t="s">
        <v>7</v>
      </c>
    </row>
    <row r="47" spans="5:10" x14ac:dyDescent="0.25">
      <c r="E47" s="1">
        <v>45236</v>
      </c>
      <c r="F47">
        <f t="shared" si="1"/>
        <v>11</v>
      </c>
      <c r="G47" s="2" t="s">
        <v>8</v>
      </c>
      <c r="H47" s="3">
        <v>95</v>
      </c>
      <c r="I47" s="2" t="s">
        <v>24</v>
      </c>
      <c r="J47" t="s">
        <v>10</v>
      </c>
    </row>
    <row r="48" spans="5:10" ht="30" x14ac:dyDescent="0.25">
      <c r="E48" s="1">
        <v>45237</v>
      </c>
      <c r="F48">
        <f t="shared" si="1"/>
        <v>11</v>
      </c>
      <c r="G48" s="2" t="s">
        <v>11</v>
      </c>
      <c r="H48" s="3">
        <v>45</v>
      </c>
      <c r="I48" s="2" t="s">
        <v>25</v>
      </c>
      <c r="J48" t="s">
        <v>13</v>
      </c>
    </row>
    <row r="49" spans="5:10" x14ac:dyDescent="0.25">
      <c r="E49" s="1">
        <v>45238</v>
      </c>
      <c r="F49">
        <f t="shared" si="1"/>
        <v>11</v>
      </c>
      <c r="G49" s="2" t="s">
        <v>14</v>
      </c>
      <c r="H49" s="3">
        <v>70</v>
      </c>
      <c r="I49" s="2" t="s">
        <v>26</v>
      </c>
      <c r="J49" t="s">
        <v>16</v>
      </c>
    </row>
    <row r="50" spans="5:10" x14ac:dyDescent="0.25">
      <c r="E50" s="1">
        <v>45239</v>
      </c>
      <c r="F50">
        <f t="shared" si="1"/>
        <v>11</v>
      </c>
      <c r="G50" s="2" t="s">
        <v>17</v>
      </c>
      <c r="H50" s="3">
        <v>250</v>
      </c>
      <c r="I50" s="2" t="s">
        <v>27</v>
      </c>
      <c r="J50" t="s">
        <v>19</v>
      </c>
    </row>
    <row r="51" spans="5:10" x14ac:dyDescent="0.25">
      <c r="E51" s="1">
        <v>45240</v>
      </c>
      <c r="F51">
        <f t="shared" si="1"/>
        <v>11</v>
      </c>
      <c r="G51" s="2" t="s">
        <v>20</v>
      </c>
      <c r="H51" s="3">
        <v>350</v>
      </c>
      <c r="I51" s="2" t="s">
        <v>28</v>
      </c>
      <c r="J51" t="s">
        <v>7</v>
      </c>
    </row>
    <row r="52" spans="5:10" ht="30" x14ac:dyDescent="0.25">
      <c r="E52" s="1">
        <v>45241</v>
      </c>
      <c r="F52">
        <f t="shared" si="1"/>
        <v>11</v>
      </c>
      <c r="G52" s="2" t="s">
        <v>22</v>
      </c>
      <c r="H52" s="3">
        <v>150</v>
      </c>
      <c r="I52" s="2" t="s">
        <v>29</v>
      </c>
      <c r="J52" t="s">
        <v>10</v>
      </c>
    </row>
    <row r="53" spans="5:10" ht="45" x14ac:dyDescent="0.25">
      <c r="E53" s="1">
        <v>45242</v>
      </c>
      <c r="F53">
        <f t="shared" si="1"/>
        <v>11</v>
      </c>
      <c r="G53" s="2" t="s">
        <v>5</v>
      </c>
      <c r="H53" s="3">
        <v>180</v>
      </c>
      <c r="I53" s="2" t="s">
        <v>6</v>
      </c>
      <c r="J53" t="s">
        <v>7</v>
      </c>
    </row>
    <row r="54" spans="5:10" x14ac:dyDescent="0.25">
      <c r="E54" s="1">
        <v>45243</v>
      </c>
      <c r="F54">
        <f t="shared" si="1"/>
        <v>11</v>
      </c>
      <c r="G54" s="2" t="s">
        <v>8</v>
      </c>
      <c r="H54" s="3">
        <v>100</v>
      </c>
      <c r="I54" s="2" t="s">
        <v>30</v>
      </c>
      <c r="J54" t="s">
        <v>10</v>
      </c>
    </row>
    <row r="55" spans="5:10" ht="30" x14ac:dyDescent="0.25">
      <c r="E55" s="1">
        <v>45244</v>
      </c>
      <c r="F55">
        <f t="shared" si="1"/>
        <v>11</v>
      </c>
      <c r="G55" s="2" t="s">
        <v>11</v>
      </c>
      <c r="H55" s="3">
        <v>50</v>
      </c>
      <c r="I55" s="2" t="s">
        <v>31</v>
      </c>
      <c r="J55" t="s">
        <v>13</v>
      </c>
    </row>
    <row r="56" spans="5:10" x14ac:dyDescent="0.25">
      <c r="E56" s="1">
        <v>45245</v>
      </c>
      <c r="F56">
        <f t="shared" si="1"/>
        <v>11</v>
      </c>
      <c r="G56" s="2" t="s">
        <v>14</v>
      </c>
      <c r="H56" s="3">
        <v>75</v>
      </c>
      <c r="I56" s="2" t="s">
        <v>32</v>
      </c>
      <c r="J56" t="s">
        <v>16</v>
      </c>
    </row>
    <row r="57" spans="5:10" ht="30" x14ac:dyDescent="0.25">
      <c r="E57" s="1">
        <v>45246</v>
      </c>
      <c r="F57">
        <f t="shared" si="1"/>
        <v>11</v>
      </c>
      <c r="G57" s="2" t="s">
        <v>17</v>
      </c>
      <c r="H57" s="3">
        <v>260</v>
      </c>
      <c r="I57" s="2" t="s">
        <v>33</v>
      </c>
      <c r="J57" t="s">
        <v>19</v>
      </c>
    </row>
    <row r="58" spans="5:10" ht="30" x14ac:dyDescent="0.25">
      <c r="E58" s="1">
        <v>45247</v>
      </c>
      <c r="F58">
        <f t="shared" si="1"/>
        <v>11</v>
      </c>
      <c r="G58" s="2" t="s">
        <v>20</v>
      </c>
      <c r="H58" s="3">
        <v>360</v>
      </c>
      <c r="I58" s="2" t="s">
        <v>34</v>
      </c>
      <c r="J58" t="s">
        <v>7</v>
      </c>
    </row>
    <row r="59" spans="5:10" ht="30" x14ac:dyDescent="0.25">
      <c r="E59" s="1">
        <v>45248</v>
      </c>
      <c r="F59">
        <f t="shared" si="1"/>
        <v>11</v>
      </c>
      <c r="G59" s="2" t="s">
        <v>22</v>
      </c>
      <c r="H59" s="3">
        <v>160</v>
      </c>
      <c r="I59" s="2" t="s">
        <v>35</v>
      </c>
      <c r="J59" t="s">
        <v>10</v>
      </c>
    </row>
    <row r="60" spans="5:10" ht="45" x14ac:dyDescent="0.25">
      <c r="E60" s="1">
        <v>45249</v>
      </c>
      <c r="F60">
        <f t="shared" si="1"/>
        <v>11</v>
      </c>
      <c r="G60" s="2" t="s">
        <v>5</v>
      </c>
      <c r="H60" s="3">
        <v>185</v>
      </c>
      <c r="I60" s="2" t="s">
        <v>6</v>
      </c>
      <c r="J60" t="s">
        <v>7</v>
      </c>
    </row>
    <row r="61" spans="5:10" x14ac:dyDescent="0.25">
      <c r="E61" s="1">
        <v>45250</v>
      </c>
      <c r="F61">
        <f t="shared" si="1"/>
        <v>11</v>
      </c>
      <c r="G61" s="2" t="s">
        <v>8</v>
      </c>
      <c r="H61" s="3">
        <v>105</v>
      </c>
      <c r="I61" s="2" t="s">
        <v>36</v>
      </c>
      <c r="J61" t="s">
        <v>10</v>
      </c>
    </row>
    <row r="62" spans="5:10" ht="30" x14ac:dyDescent="0.25">
      <c r="E62" s="1">
        <v>45251</v>
      </c>
      <c r="F62">
        <f t="shared" si="1"/>
        <v>11</v>
      </c>
      <c r="G62" s="2" t="s">
        <v>11</v>
      </c>
      <c r="H62" s="3">
        <v>55</v>
      </c>
      <c r="I62" s="2" t="s">
        <v>37</v>
      </c>
      <c r="J62" t="s">
        <v>13</v>
      </c>
    </row>
    <row r="63" spans="5:10" x14ac:dyDescent="0.25">
      <c r="E63" s="1">
        <v>45252</v>
      </c>
      <c r="F63">
        <f t="shared" si="1"/>
        <v>11</v>
      </c>
      <c r="G63" s="2" t="s">
        <v>14</v>
      </c>
      <c r="H63" s="3">
        <v>80</v>
      </c>
      <c r="I63" s="2" t="s">
        <v>38</v>
      </c>
      <c r="J63" t="s">
        <v>16</v>
      </c>
    </row>
    <row r="64" spans="5:10" x14ac:dyDescent="0.25">
      <c r="E64" s="1">
        <v>45253</v>
      </c>
      <c r="F64">
        <f t="shared" si="1"/>
        <v>11</v>
      </c>
      <c r="G64" s="2" t="s">
        <v>17</v>
      </c>
      <c r="H64" s="3">
        <v>270</v>
      </c>
      <c r="I64" s="2" t="s">
        <v>39</v>
      </c>
      <c r="J64" t="s">
        <v>19</v>
      </c>
    </row>
    <row r="65" spans="5:10" x14ac:dyDescent="0.25">
      <c r="E65" s="1">
        <v>45254</v>
      </c>
      <c r="F65">
        <f t="shared" si="1"/>
        <v>11</v>
      </c>
      <c r="G65" s="2" t="s">
        <v>20</v>
      </c>
      <c r="H65" s="3">
        <v>370</v>
      </c>
      <c r="I65" s="2" t="s">
        <v>40</v>
      </c>
      <c r="J65" t="s">
        <v>7</v>
      </c>
    </row>
    <row r="66" spans="5:10" ht="30" x14ac:dyDescent="0.25">
      <c r="E66" s="1">
        <v>45255</v>
      </c>
      <c r="F66">
        <f t="shared" si="1"/>
        <v>11</v>
      </c>
      <c r="G66" s="2" t="s">
        <v>22</v>
      </c>
      <c r="H66" s="3">
        <v>170</v>
      </c>
      <c r="I66" s="2" t="s">
        <v>23</v>
      </c>
      <c r="J66" t="s">
        <v>10</v>
      </c>
    </row>
    <row r="67" spans="5:10" ht="45" x14ac:dyDescent="0.25">
      <c r="E67" s="1">
        <v>45256</v>
      </c>
      <c r="F67">
        <f t="shared" si="1"/>
        <v>11</v>
      </c>
      <c r="G67" s="2" t="s">
        <v>5</v>
      </c>
      <c r="H67" s="3">
        <v>190</v>
      </c>
      <c r="I67" s="2" t="s">
        <v>6</v>
      </c>
      <c r="J67" t="s">
        <v>7</v>
      </c>
    </row>
    <row r="68" spans="5:10" x14ac:dyDescent="0.25">
      <c r="E68" s="1">
        <v>45257</v>
      </c>
      <c r="F68">
        <f t="shared" si="1"/>
        <v>11</v>
      </c>
      <c r="G68" s="2" t="s">
        <v>8</v>
      </c>
      <c r="H68" s="3">
        <v>110</v>
      </c>
      <c r="I68" s="2" t="s">
        <v>9</v>
      </c>
      <c r="J68" t="s">
        <v>10</v>
      </c>
    </row>
    <row r="69" spans="5:10" ht="30" x14ac:dyDescent="0.25">
      <c r="E69" s="1">
        <v>45258</v>
      </c>
      <c r="F69">
        <f t="shared" si="1"/>
        <v>11</v>
      </c>
      <c r="G69" s="2" t="s">
        <v>11</v>
      </c>
      <c r="H69" s="3">
        <v>60</v>
      </c>
      <c r="I69" s="2" t="s">
        <v>12</v>
      </c>
      <c r="J69" t="s">
        <v>13</v>
      </c>
    </row>
    <row r="70" spans="5:10" ht="30" x14ac:dyDescent="0.25">
      <c r="E70" s="1">
        <v>45259</v>
      </c>
      <c r="F70">
        <f t="shared" si="1"/>
        <v>11</v>
      </c>
      <c r="G70" s="2" t="s">
        <v>14</v>
      </c>
      <c r="H70" s="3">
        <v>85</v>
      </c>
      <c r="I70" s="2" t="s">
        <v>15</v>
      </c>
      <c r="J70" t="s">
        <v>16</v>
      </c>
    </row>
    <row r="71" spans="5:10" ht="30" x14ac:dyDescent="0.25">
      <c r="E71" s="1">
        <v>45260</v>
      </c>
      <c r="F71">
        <f t="shared" si="1"/>
        <v>11</v>
      </c>
      <c r="G71" s="2" t="s">
        <v>17</v>
      </c>
      <c r="H71" s="3">
        <v>280</v>
      </c>
      <c r="I71" s="2" t="s">
        <v>18</v>
      </c>
      <c r="J71" t="s">
        <v>19</v>
      </c>
    </row>
    <row r="72" spans="5:10" ht="30" x14ac:dyDescent="0.25">
      <c r="E72" s="1">
        <v>45261</v>
      </c>
      <c r="F72">
        <f t="shared" si="1"/>
        <v>12</v>
      </c>
      <c r="G72" s="2" t="s">
        <v>20</v>
      </c>
      <c r="H72" s="3">
        <v>380</v>
      </c>
      <c r="I72" s="2" t="s">
        <v>21</v>
      </c>
      <c r="J72" t="s">
        <v>7</v>
      </c>
    </row>
    <row r="73" spans="5:10" ht="30" x14ac:dyDescent="0.25">
      <c r="E73" s="1">
        <v>45262</v>
      </c>
      <c r="F73">
        <f t="shared" si="1"/>
        <v>12</v>
      </c>
      <c r="G73" s="2" t="s">
        <v>22</v>
      </c>
      <c r="H73" s="3">
        <v>180</v>
      </c>
      <c r="I73" s="2" t="s">
        <v>23</v>
      </c>
      <c r="J73" t="s">
        <v>10</v>
      </c>
    </row>
    <row r="74" spans="5:10" ht="45" x14ac:dyDescent="0.25">
      <c r="E74" s="1">
        <v>45263</v>
      </c>
      <c r="F74">
        <f t="shared" si="1"/>
        <v>12</v>
      </c>
      <c r="G74" s="2" t="s">
        <v>5</v>
      </c>
      <c r="H74" s="3">
        <v>195</v>
      </c>
      <c r="I74" s="2" t="s">
        <v>6</v>
      </c>
      <c r="J74" t="s">
        <v>7</v>
      </c>
    </row>
    <row r="75" spans="5:10" x14ac:dyDescent="0.25">
      <c r="E75" s="1">
        <v>45264</v>
      </c>
      <c r="F75">
        <f t="shared" ref="F75:F102" si="2">MONTH(E75)</f>
        <v>12</v>
      </c>
      <c r="G75" s="2" t="s">
        <v>8</v>
      </c>
      <c r="H75" s="3">
        <v>115</v>
      </c>
      <c r="I75" s="2" t="s">
        <v>24</v>
      </c>
      <c r="J75" t="s">
        <v>10</v>
      </c>
    </row>
    <row r="76" spans="5:10" ht="30" x14ac:dyDescent="0.25">
      <c r="E76" s="1">
        <v>45265</v>
      </c>
      <c r="F76">
        <f t="shared" si="2"/>
        <v>12</v>
      </c>
      <c r="G76" s="2" t="s">
        <v>11</v>
      </c>
      <c r="H76" s="3">
        <v>65</v>
      </c>
      <c r="I76" s="2" t="s">
        <v>25</v>
      </c>
      <c r="J76" t="s">
        <v>13</v>
      </c>
    </row>
    <row r="77" spans="5:10" x14ac:dyDescent="0.25">
      <c r="E77" s="1">
        <v>45266</v>
      </c>
      <c r="F77">
        <f t="shared" si="2"/>
        <v>12</v>
      </c>
      <c r="G77" s="2" t="s">
        <v>14</v>
      </c>
      <c r="H77" s="3">
        <v>90</v>
      </c>
      <c r="I77" s="2" t="s">
        <v>26</v>
      </c>
      <c r="J77" t="s">
        <v>16</v>
      </c>
    </row>
    <row r="78" spans="5:10" x14ac:dyDescent="0.25">
      <c r="E78" s="1">
        <v>45267</v>
      </c>
      <c r="F78">
        <f t="shared" si="2"/>
        <v>12</v>
      </c>
      <c r="G78" s="2" t="s">
        <v>17</v>
      </c>
      <c r="H78" s="3">
        <v>290</v>
      </c>
      <c r="I78" s="2" t="s">
        <v>27</v>
      </c>
      <c r="J78" t="s">
        <v>19</v>
      </c>
    </row>
    <row r="79" spans="5:10" x14ac:dyDescent="0.25">
      <c r="E79" s="1">
        <v>45268</v>
      </c>
      <c r="F79">
        <f t="shared" si="2"/>
        <v>12</v>
      </c>
      <c r="G79" s="2" t="s">
        <v>20</v>
      </c>
      <c r="H79" s="3">
        <v>390</v>
      </c>
      <c r="I79" s="2" t="s">
        <v>28</v>
      </c>
      <c r="J79" t="s">
        <v>7</v>
      </c>
    </row>
    <row r="80" spans="5:10" ht="30" x14ac:dyDescent="0.25">
      <c r="E80" s="1">
        <v>45269</v>
      </c>
      <c r="F80">
        <f t="shared" si="2"/>
        <v>12</v>
      </c>
      <c r="G80" s="2" t="s">
        <v>22</v>
      </c>
      <c r="H80" s="3">
        <v>190</v>
      </c>
      <c r="I80" s="2" t="s">
        <v>29</v>
      </c>
      <c r="J80" t="s">
        <v>10</v>
      </c>
    </row>
    <row r="81" spans="5:10" ht="45" x14ac:dyDescent="0.25">
      <c r="E81" s="1">
        <v>45270</v>
      </c>
      <c r="F81">
        <f t="shared" si="2"/>
        <v>12</v>
      </c>
      <c r="G81" s="2" t="s">
        <v>5</v>
      </c>
      <c r="H81" s="3">
        <v>200</v>
      </c>
      <c r="I81" s="2" t="s">
        <v>6</v>
      </c>
      <c r="J81" t="s">
        <v>7</v>
      </c>
    </row>
    <row r="82" spans="5:10" x14ac:dyDescent="0.25">
      <c r="E82" s="1">
        <v>45271</v>
      </c>
      <c r="F82">
        <f t="shared" si="2"/>
        <v>12</v>
      </c>
      <c r="G82" s="2" t="s">
        <v>8</v>
      </c>
      <c r="H82" s="3">
        <v>120</v>
      </c>
      <c r="I82" s="2" t="s">
        <v>30</v>
      </c>
      <c r="J82" t="s">
        <v>10</v>
      </c>
    </row>
    <row r="83" spans="5:10" ht="30" x14ac:dyDescent="0.25">
      <c r="E83" s="1">
        <v>45272</v>
      </c>
      <c r="F83">
        <f t="shared" si="2"/>
        <v>12</v>
      </c>
      <c r="G83" s="2" t="s">
        <v>11</v>
      </c>
      <c r="H83" s="3">
        <v>70</v>
      </c>
      <c r="I83" s="2" t="s">
        <v>31</v>
      </c>
      <c r="J83" t="s">
        <v>13</v>
      </c>
    </row>
    <row r="84" spans="5:10" x14ac:dyDescent="0.25">
      <c r="E84" s="1">
        <v>45273</v>
      </c>
      <c r="F84">
        <f t="shared" si="2"/>
        <v>12</v>
      </c>
      <c r="G84" s="2" t="s">
        <v>14</v>
      </c>
      <c r="H84" s="3">
        <v>95</v>
      </c>
      <c r="I84" s="2" t="s">
        <v>32</v>
      </c>
      <c r="J84" t="s">
        <v>16</v>
      </c>
    </row>
    <row r="85" spans="5:10" ht="30" x14ac:dyDescent="0.25">
      <c r="E85" s="1">
        <v>45274</v>
      </c>
      <c r="F85">
        <f t="shared" si="2"/>
        <v>12</v>
      </c>
      <c r="G85" s="2" t="s">
        <v>17</v>
      </c>
      <c r="H85" s="3">
        <v>300</v>
      </c>
      <c r="I85" s="2" t="s">
        <v>33</v>
      </c>
      <c r="J85" t="s">
        <v>19</v>
      </c>
    </row>
    <row r="86" spans="5:10" ht="30" x14ac:dyDescent="0.25">
      <c r="E86" s="1">
        <v>45275</v>
      </c>
      <c r="F86">
        <f t="shared" si="2"/>
        <v>12</v>
      </c>
      <c r="G86" s="2" t="s">
        <v>20</v>
      </c>
      <c r="H86" s="3">
        <v>400</v>
      </c>
      <c r="I86" s="2" t="s">
        <v>34</v>
      </c>
      <c r="J86" t="s">
        <v>7</v>
      </c>
    </row>
    <row r="87" spans="5:10" ht="30" x14ac:dyDescent="0.25">
      <c r="E87" s="1">
        <v>45276</v>
      </c>
      <c r="F87">
        <f t="shared" si="2"/>
        <v>12</v>
      </c>
      <c r="G87" s="2" t="s">
        <v>22</v>
      </c>
      <c r="H87" s="3">
        <v>200</v>
      </c>
      <c r="I87" s="2" t="s">
        <v>35</v>
      </c>
      <c r="J87" t="s">
        <v>10</v>
      </c>
    </row>
    <row r="88" spans="5:10" ht="45" x14ac:dyDescent="0.25">
      <c r="E88" s="1">
        <v>45277</v>
      </c>
      <c r="F88">
        <f t="shared" si="2"/>
        <v>12</v>
      </c>
      <c r="G88" s="2" t="s">
        <v>5</v>
      </c>
      <c r="H88" s="3">
        <v>205</v>
      </c>
      <c r="I88" s="2" t="s">
        <v>6</v>
      </c>
      <c r="J88" t="s">
        <v>7</v>
      </c>
    </row>
    <row r="89" spans="5:10" x14ac:dyDescent="0.25">
      <c r="E89" s="1">
        <v>45278</v>
      </c>
      <c r="F89">
        <f t="shared" si="2"/>
        <v>12</v>
      </c>
      <c r="G89" s="2" t="s">
        <v>8</v>
      </c>
      <c r="H89" s="3">
        <v>125</v>
      </c>
      <c r="I89" s="2" t="s">
        <v>36</v>
      </c>
      <c r="J89" t="s">
        <v>10</v>
      </c>
    </row>
    <row r="90" spans="5:10" ht="30" x14ac:dyDescent="0.25">
      <c r="E90" s="1">
        <v>45279</v>
      </c>
      <c r="F90">
        <f t="shared" si="2"/>
        <v>12</v>
      </c>
      <c r="G90" s="2" t="s">
        <v>11</v>
      </c>
      <c r="H90" s="3">
        <v>75</v>
      </c>
      <c r="I90" s="2" t="s">
        <v>37</v>
      </c>
      <c r="J90" t="s">
        <v>13</v>
      </c>
    </row>
    <row r="91" spans="5:10" x14ac:dyDescent="0.25">
      <c r="E91" s="1">
        <v>45280</v>
      </c>
      <c r="F91">
        <f t="shared" si="2"/>
        <v>12</v>
      </c>
      <c r="G91" s="2" t="s">
        <v>14</v>
      </c>
      <c r="H91" s="3">
        <v>100</v>
      </c>
      <c r="I91" s="2" t="s">
        <v>38</v>
      </c>
      <c r="J91" t="s">
        <v>16</v>
      </c>
    </row>
    <row r="92" spans="5:10" x14ac:dyDescent="0.25">
      <c r="E92" s="1">
        <v>45281</v>
      </c>
      <c r="F92">
        <f t="shared" si="2"/>
        <v>12</v>
      </c>
      <c r="G92" s="2" t="s">
        <v>17</v>
      </c>
      <c r="H92" s="3">
        <v>310</v>
      </c>
      <c r="I92" s="2" t="s">
        <v>39</v>
      </c>
      <c r="J92" t="s">
        <v>19</v>
      </c>
    </row>
    <row r="93" spans="5:10" x14ac:dyDescent="0.25">
      <c r="E93" s="1">
        <v>45282</v>
      </c>
      <c r="F93">
        <f t="shared" si="2"/>
        <v>12</v>
      </c>
      <c r="G93" s="2" t="s">
        <v>20</v>
      </c>
      <c r="H93" s="3">
        <v>410</v>
      </c>
      <c r="I93" s="2" t="s">
        <v>40</v>
      </c>
      <c r="J93" t="s">
        <v>7</v>
      </c>
    </row>
    <row r="94" spans="5:10" ht="30" x14ac:dyDescent="0.25">
      <c r="E94" s="1">
        <v>45283</v>
      </c>
      <c r="F94">
        <f t="shared" si="2"/>
        <v>12</v>
      </c>
      <c r="G94" s="2" t="s">
        <v>22</v>
      </c>
      <c r="H94" s="3">
        <v>210</v>
      </c>
      <c r="I94" s="2" t="s">
        <v>23</v>
      </c>
      <c r="J94" t="s">
        <v>10</v>
      </c>
    </row>
    <row r="95" spans="5:10" ht="45" x14ac:dyDescent="0.25">
      <c r="E95" s="1">
        <v>45284</v>
      </c>
      <c r="F95">
        <f t="shared" si="2"/>
        <v>12</v>
      </c>
      <c r="G95" s="2" t="s">
        <v>5</v>
      </c>
      <c r="H95" s="3">
        <v>210</v>
      </c>
      <c r="I95" s="2" t="s">
        <v>6</v>
      </c>
      <c r="J95" t="s">
        <v>7</v>
      </c>
    </row>
    <row r="96" spans="5:10" x14ac:dyDescent="0.25">
      <c r="E96" s="1">
        <v>45285</v>
      </c>
      <c r="F96">
        <f t="shared" si="2"/>
        <v>12</v>
      </c>
      <c r="G96" s="2" t="s">
        <v>8</v>
      </c>
      <c r="H96" s="3">
        <v>130</v>
      </c>
      <c r="I96" s="2" t="s">
        <v>9</v>
      </c>
      <c r="J96" t="s">
        <v>10</v>
      </c>
    </row>
    <row r="97" spans="5:10" ht="30" x14ac:dyDescent="0.25">
      <c r="E97" s="1">
        <v>45286</v>
      </c>
      <c r="F97">
        <f t="shared" si="2"/>
        <v>12</v>
      </c>
      <c r="G97" s="2" t="s">
        <v>11</v>
      </c>
      <c r="H97" s="3">
        <v>80</v>
      </c>
      <c r="I97" s="2" t="s">
        <v>12</v>
      </c>
      <c r="J97" t="s">
        <v>13</v>
      </c>
    </row>
    <row r="98" spans="5:10" ht="30" x14ac:dyDescent="0.25">
      <c r="E98" s="1">
        <v>45287</v>
      </c>
      <c r="F98">
        <f t="shared" si="2"/>
        <v>12</v>
      </c>
      <c r="G98" s="2" t="s">
        <v>14</v>
      </c>
      <c r="H98" s="3">
        <v>105</v>
      </c>
      <c r="I98" s="2" t="s">
        <v>15</v>
      </c>
      <c r="J98" t="s">
        <v>16</v>
      </c>
    </row>
    <row r="99" spans="5:10" ht="30" x14ac:dyDescent="0.25">
      <c r="E99" s="1">
        <v>45288</v>
      </c>
      <c r="F99">
        <f t="shared" si="2"/>
        <v>12</v>
      </c>
      <c r="G99" s="2" t="s">
        <v>17</v>
      </c>
      <c r="H99" s="3">
        <v>320</v>
      </c>
      <c r="I99" s="2" t="s">
        <v>18</v>
      </c>
      <c r="J99" t="s">
        <v>19</v>
      </c>
    </row>
    <row r="100" spans="5:10" ht="30" x14ac:dyDescent="0.25">
      <c r="E100" s="1">
        <v>45289</v>
      </c>
      <c r="F100">
        <f t="shared" si="2"/>
        <v>12</v>
      </c>
      <c r="G100" s="2" t="s">
        <v>20</v>
      </c>
      <c r="H100" s="3">
        <v>420</v>
      </c>
      <c r="I100" s="2" t="s">
        <v>21</v>
      </c>
      <c r="J100" t="s">
        <v>7</v>
      </c>
    </row>
    <row r="101" spans="5:10" ht="30" x14ac:dyDescent="0.25">
      <c r="E101" s="1">
        <v>45290</v>
      </c>
      <c r="F101">
        <f t="shared" si="2"/>
        <v>12</v>
      </c>
      <c r="G101" s="2" t="s">
        <v>22</v>
      </c>
      <c r="H101" s="3">
        <v>220</v>
      </c>
      <c r="I101" s="2" t="s">
        <v>23</v>
      </c>
      <c r="J101" t="s">
        <v>10</v>
      </c>
    </row>
    <row r="102" spans="5:10" ht="45" x14ac:dyDescent="0.25">
      <c r="E102" s="1">
        <v>45291</v>
      </c>
      <c r="F102">
        <f t="shared" si="2"/>
        <v>12</v>
      </c>
      <c r="G102" s="2" t="s">
        <v>5</v>
      </c>
      <c r="H102" s="3">
        <v>215</v>
      </c>
      <c r="I102" s="2" t="s">
        <v>6</v>
      </c>
      <c r="J102" t="s">
        <v>7</v>
      </c>
    </row>
  </sheetData>
  <mergeCells count="4">
    <mergeCell ref="M2:N2"/>
    <mergeCell ref="E1:J1"/>
    <mergeCell ref="E5:F5"/>
    <mergeCell ref="E6:F6"/>
  </mergeCells>
  <conditionalFormatting sqref="H11:H102">
    <cfRule type="expression" dxfId="11" priority="7">
      <formula>G11="Shopping"</formula>
    </cfRule>
    <cfRule type="expression" dxfId="10" priority="8">
      <formula>G11="Education"</formula>
    </cfRule>
    <cfRule type="expression" dxfId="9" priority="10">
      <formula>G11="Entertainment"</formula>
    </cfRule>
    <cfRule type="expression" dxfId="8" priority="11">
      <formula>G11="Utilities"</formula>
    </cfRule>
    <cfRule type="expression" dxfId="7" priority="12">
      <formula>G11="Healthcare"</formula>
    </cfRule>
    <cfRule type="expression" dxfId="6" priority="13">
      <formula>G11="Groceries"</formula>
    </cfRule>
  </conditionalFormatting>
  <conditionalFormatting sqref="M3">
    <cfRule type="expression" dxfId="5" priority="1">
      <formula>L3="Shopping"</formula>
    </cfRule>
    <cfRule type="expression" dxfId="4" priority="2">
      <formula>L3="Education"</formula>
    </cfRule>
    <cfRule type="expression" dxfId="3" priority="3">
      <formula>L3="Entertainment"</formula>
    </cfRule>
    <cfRule type="expression" dxfId="2" priority="4">
      <formula>L3="Utilities"</formula>
    </cfRule>
    <cfRule type="expression" dxfId="1" priority="5">
      <formula>L3="Healthcare"</formula>
    </cfRule>
    <cfRule type="expression" dxfId="0" priority="6">
      <formula>L3="Groceries"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2426-9E11-4D14-8B5C-669DB43625D3}">
  <sheetPr>
    <tabColor theme="6" tint="0.59999389629810485"/>
  </sheetPr>
  <dimension ref="C8:I40"/>
  <sheetViews>
    <sheetView showGridLines="0" zoomScale="79" zoomScaleNormal="79" workbookViewId="0">
      <selection activeCell="K38" sqref="K38"/>
    </sheetView>
  </sheetViews>
  <sheetFormatPr defaultRowHeight="15" x14ac:dyDescent="0.25"/>
  <cols>
    <col min="3" max="3" width="27.42578125" bestFit="1" customWidth="1"/>
    <col min="4" max="4" width="23.7109375" bestFit="1" customWidth="1"/>
    <col min="5" max="5" width="14.85546875" bestFit="1" customWidth="1"/>
    <col min="6" max="6" width="4.140625" customWidth="1"/>
    <col min="7" max="7" width="13.140625" bestFit="1" customWidth="1"/>
    <col min="8" max="8" width="16.28515625" bestFit="1" customWidth="1"/>
    <col min="9" max="9" width="19.140625" bestFit="1" customWidth="1"/>
    <col min="10" max="10" width="11" bestFit="1" customWidth="1"/>
    <col min="11" max="11" width="13.140625" bestFit="1" customWidth="1"/>
    <col min="12" max="12" width="19.28515625" bestFit="1" customWidth="1"/>
    <col min="13" max="13" width="11.85546875" bestFit="1" customWidth="1"/>
    <col min="14" max="14" width="18" bestFit="1" customWidth="1"/>
    <col min="15" max="15" width="7.5703125" bestFit="1" customWidth="1"/>
    <col min="16" max="16" width="11.5703125" bestFit="1" customWidth="1"/>
    <col min="17" max="17" width="16.5703125" bestFit="1" customWidth="1"/>
    <col min="18" max="18" width="12.140625" bestFit="1" customWidth="1"/>
    <col min="19" max="19" width="16.85546875" bestFit="1" customWidth="1"/>
    <col min="20" max="20" width="18.28515625" bestFit="1" customWidth="1"/>
    <col min="21" max="21" width="11.7109375" bestFit="1" customWidth="1"/>
    <col min="22" max="22" width="8.5703125" bestFit="1" customWidth="1"/>
    <col min="23" max="23" width="13.42578125" bestFit="1" customWidth="1"/>
    <col min="24" max="24" width="10.85546875" bestFit="1" customWidth="1"/>
    <col min="25" max="25" width="9.85546875" bestFit="1" customWidth="1"/>
    <col min="26" max="26" width="23.85546875" bestFit="1" customWidth="1"/>
    <col min="27" max="27" width="13.7109375" bestFit="1" customWidth="1"/>
    <col min="28" max="28" width="11.28515625" bestFit="1" customWidth="1"/>
    <col min="29" max="29" width="14.42578125" bestFit="1" customWidth="1"/>
    <col min="30" max="30" width="13.140625" bestFit="1" customWidth="1"/>
    <col min="31" max="31" width="7.5703125" bestFit="1" customWidth="1"/>
    <col min="32" max="32" width="11.5703125" bestFit="1" customWidth="1"/>
    <col min="33" max="33" width="9.85546875" bestFit="1" customWidth="1"/>
    <col min="34" max="34" width="13.140625" bestFit="1" customWidth="1"/>
    <col min="35" max="35" width="11.28515625" bestFit="1" customWidth="1"/>
  </cols>
  <sheetData>
    <row r="8" spans="3:6" x14ac:dyDescent="0.25">
      <c r="C8" s="4" t="s">
        <v>1</v>
      </c>
      <c r="D8" s="4" t="s">
        <v>3</v>
      </c>
      <c r="E8" s="3" t="s">
        <v>41</v>
      </c>
      <c r="F8" s="3"/>
    </row>
    <row r="9" spans="3:6" x14ac:dyDescent="0.25">
      <c r="C9" t="s">
        <v>20</v>
      </c>
      <c r="D9" t="s">
        <v>34</v>
      </c>
      <c r="E9" s="3">
        <v>1070</v>
      </c>
      <c r="F9" s="3"/>
    </row>
    <row r="10" spans="3:6" x14ac:dyDescent="0.25">
      <c r="D10" t="s">
        <v>21</v>
      </c>
      <c r="E10" s="3">
        <v>1440</v>
      </c>
      <c r="F10" s="3"/>
    </row>
    <row r="11" spans="3:6" x14ac:dyDescent="0.25">
      <c r="D11" t="s">
        <v>40</v>
      </c>
      <c r="E11" s="3">
        <v>1110</v>
      </c>
      <c r="F11" s="3"/>
    </row>
    <row r="12" spans="3:6" x14ac:dyDescent="0.25">
      <c r="D12" t="s">
        <v>28</v>
      </c>
      <c r="E12" s="3">
        <v>1060</v>
      </c>
      <c r="F12" s="3"/>
    </row>
    <row r="13" spans="3:6" x14ac:dyDescent="0.25">
      <c r="C13" t="s">
        <v>43</v>
      </c>
      <c r="E13" s="3">
        <v>4680</v>
      </c>
      <c r="F13" s="3"/>
    </row>
    <row r="14" spans="3:6" x14ac:dyDescent="0.25">
      <c r="C14" t="s">
        <v>11</v>
      </c>
      <c r="D14" t="s">
        <v>37</v>
      </c>
      <c r="E14" s="3">
        <v>165</v>
      </c>
      <c r="F14" s="3"/>
    </row>
    <row r="15" spans="3:6" x14ac:dyDescent="0.25">
      <c r="D15" t="s">
        <v>25</v>
      </c>
      <c r="E15" s="3">
        <v>135</v>
      </c>
      <c r="F15" s="3"/>
    </row>
    <row r="16" spans="3:6" x14ac:dyDescent="0.25">
      <c r="D16" t="s">
        <v>12</v>
      </c>
      <c r="E16" s="3">
        <v>200</v>
      </c>
      <c r="F16" s="3"/>
    </row>
    <row r="17" spans="3:9" x14ac:dyDescent="0.25">
      <c r="D17" t="s">
        <v>31</v>
      </c>
      <c r="E17" s="3">
        <v>150</v>
      </c>
      <c r="F17" s="3"/>
    </row>
    <row r="18" spans="3:9" x14ac:dyDescent="0.25">
      <c r="C18" t="s">
        <v>44</v>
      </c>
      <c r="E18" s="3">
        <v>650</v>
      </c>
      <c r="F18" s="3"/>
      <c r="G18" s="4" t="s">
        <v>1</v>
      </c>
      <c r="H18" s="3" t="s">
        <v>41</v>
      </c>
    </row>
    <row r="19" spans="3:9" x14ac:dyDescent="0.25">
      <c r="C19" t="s">
        <v>5</v>
      </c>
      <c r="D19" t="s">
        <v>6</v>
      </c>
      <c r="E19" s="3">
        <v>2555</v>
      </c>
      <c r="F19" s="3"/>
      <c r="G19" t="s">
        <v>20</v>
      </c>
      <c r="H19" s="3">
        <v>4680</v>
      </c>
    </row>
    <row r="20" spans="3:9" x14ac:dyDescent="0.25">
      <c r="C20" t="s">
        <v>45</v>
      </c>
      <c r="E20" s="3">
        <v>2555</v>
      </c>
      <c r="F20" s="3"/>
      <c r="G20" t="s">
        <v>11</v>
      </c>
      <c r="H20" s="3">
        <v>650</v>
      </c>
    </row>
    <row r="21" spans="3:9" x14ac:dyDescent="0.25">
      <c r="C21" t="s">
        <v>17</v>
      </c>
      <c r="D21" t="s">
        <v>18</v>
      </c>
      <c r="E21" s="3">
        <v>1040</v>
      </c>
      <c r="F21" s="3"/>
      <c r="G21" t="s">
        <v>5</v>
      </c>
      <c r="H21" s="3">
        <v>2555</v>
      </c>
    </row>
    <row r="22" spans="3:9" x14ac:dyDescent="0.25">
      <c r="D22" t="s">
        <v>27</v>
      </c>
      <c r="E22" s="3">
        <v>750</v>
      </c>
      <c r="F22" s="3"/>
      <c r="G22" t="s">
        <v>17</v>
      </c>
      <c r="H22" s="3">
        <v>3380</v>
      </c>
    </row>
    <row r="23" spans="3:9" x14ac:dyDescent="0.25">
      <c r="D23" t="s">
        <v>39</v>
      </c>
      <c r="E23" s="3">
        <v>810</v>
      </c>
      <c r="F23" s="3"/>
      <c r="G23" t="s">
        <v>22</v>
      </c>
      <c r="H23" s="3">
        <v>2080</v>
      </c>
    </row>
    <row r="24" spans="3:9" x14ac:dyDescent="0.25">
      <c r="D24" t="s">
        <v>33</v>
      </c>
      <c r="E24" s="3">
        <v>780</v>
      </c>
      <c r="F24" s="3"/>
      <c r="G24" t="s">
        <v>14</v>
      </c>
      <c r="H24" s="3">
        <v>975</v>
      </c>
    </row>
    <row r="25" spans="3:9" x14ac:dyDescent="0.25">
      <c r="C25" t="s">
        <v>46</v>
      </c>
      <c r="E25" s="3">
        <v>3380</v>
      </c>
      <c r="F25" s="3"/>
      <c r="G25" t="s">
        <v>8</v>
      </c>
      <c r="H25" s="3">
        <v>1308.5</v>
      </c>
    </row>
    <row r="26" spans="3:9" x14ac:dyDescent="0.25">
      <c r="C26" t="s">
        <v>22</v>
      </c>
      <c r="D26" t="s">
        <v>23</v>
      </c>
      <c r="E26" s="3">
        <v>1150</v>
      </c>
      <c r="F26" s="3"/>
      <c r="G26" t="s">
        <v>42</v>
      </c>
      <c r="H26" s="3">
        <v>15628.5</v>
      </c>
    </row>
    <row r="27" spans="3:9" x14ac:dyDescent="0.25">
      <c r="D27" t="s">
        <v>29</v>
      </c>
      <c r="E27" s="3">
        <v>450</v>
      </c>
      <c r="F27" s="3"/>
    </row>
    <row r="28" spans="3:9" x14ac:dyDescent="0.25">
      <c r="D28" t="s">
        <v>35</v>
      </c>
      <c r="E28" s="3">
        <v>480</v>
      </c>
      <c r="F28" s="3"/>
    </row>
    <row r="29" spans="3:9" ht="18.75" x14ac:dyDescent="0.3">
      <c r="C29" t="s">
        <v>47</v>
      </c>
      <c r="E29" s="3">
        <v>2080</v>
      </c>
      <c r="F29" s="3"/>
      <c r="G29" s="17" t="s">
        <v>57</v>
      </c>
      <c r="H29" s="17" t="s">
        <v>0</v>
      </c>
      <c r="I29" s="18" t="s">
        <v>41</v>
      </c>
    </row>
    <row r="30" spans="3:9" ht="18.75" x14ac:dyDescent="0.3">
      <c r="C30" t="s">
        <v>14</v>
      </c>
      <c r="D30" t="s">
        <v>38</v>
      </c>
      <c r="E30" s="3">
        <v>240</v>
      </c>
      <c r="F30" s="3"/>
      <c r="G30" s="19" t="s">
        <v>53</v>
      </c>
      <c r="H30" s="19"/>
      <c r="I30" s="18">
        <v>4148.5</v>
      </c>
    </row>
    <row r="31" spans="3:9" ht="18.75" x14ac:dyDescent="0.3">
      <c r="D31" t="s">
        <v>15</v>
      </c>
      <c r="E31" s="3">
        <v>300</v>
      </c>
      <c r="F31" s="3"/>
      <c r="G31" s="19" t="s">
        <v>54</v>
      </c>
      <c r="H31" s="19"/>
      <c r="I31" s="18">
        <v>5065</v>
      </c>
    </row>
    <row r="32" spans="3:9" ht="18.75" x14ac:dyDescent="0.3">
      <c r="D32" t="s">
        <v>26</v>
      </c>
      <c r="E32" s="3">
        <v>210</v>
      </c>
      <c r="F32" s="3"/>
      <c r="G32" s="19" t="s">
        <v>55</v>
      </c>
      <c r="H32" s="19"/>
      <c r="I32" s="18">
        <v>6415</v>
      </c>
    </row>
    <row r="33" spans="3:9" ht="18.75" x14ac:dyDescent="0.3">
      <c r="D33" t="s">
        <v>32</v>
      </c>
      <c r="E33" s="3">
        <v>225</v>
      </c>
      <c r="F33" s="3"/>
      <c r="G33" s="19" t="s">
        <v>42</v>
      </c>
      <c r="H33" s="19"/>
      <c r="I33" s="18">
        <v>15628.5</v>
      </c>
    </row>
    <row r="34" spans="3:9" x14ac:dyDescent="0.25">
      <c r="C34" t="s">
        <v>48</v>
      </c>
      <c r="E34" s="3">
        <v>975</v>
      </c>
      <c r="F34" s="3"/>
    </row>
    <row r="35" spans="3:9" x14ac:dyDescent="0.25">
      <c r="C35" t="s">
        <v>8</v>
      </c>
      <c r="D35" t="s">
        <v>9</v>
      </c>
      <c r="E35" s="3">
        <v>405.5</v>
      </c>
      <c r="F35" s="3"/>
    </row>
    <row r="36" spans="3:9" x14ac:dyDescent="0.25">
      <c r="D36" t="s">
        <v>30</v>
      </c>
      <c r="E36" s="3">
        <v>298</v>
      </c>
      <c r="F36" s="3"/>
    </row>
    <row r="37" spans="3:9" x14ac:dyDescent="0.25">
      <c r="D37" t="s">
        <v>36</v>
      </c>
      <c r="E37" s="3">
        <v>315</v>
      </c>
      <c r="F37" s="3"/>
    </row>
    <row r="38" spans="3:9" x14ac:dyDescent="0.25">
      <c r="D38" t="s">
        <v>24</v>
      </c>
      <c r="E38" s="3">
        <v>290</v>
      </c>
      <c r="F38" s="3"/>
    </row>
    <row r="39" spans="3:9" x14ac:dyDescent="0.25">
      <c r="C39" t="s">
        <v>49</v>
      </c>
      <c r="E39" s="3">
        <v>1308.5</v>
      </c>
      <c r="F39" s="3"/>
    </row>
    <row r="40" spans="3:9" x14ac:dyDescent="0.25">
      <c r="C40" t="s">
        <v>42</v>
      </c>
      <c r="E40" s="3">
        <v>15628.5</v>
      </c>
      <c r="F40" s="3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expanse</vt:lpstr>
      <vt:lpstr>pivot table </vt:lpstr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photogsm18@gmail.com</cp:lastModifiedBy>
  <dcterms:created xsi:type="dcterms:W3CDTF">2024-10-29T20:51:04Z</dcterms:created>
  <dcterms:modified xsi:type="dcterms:W3CDTF">2024-11-02T09:08:04Z</dcterms:modified>
</cp:coreProperties>
</file>